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filterPrivacy="1" codeName="ThisWorkbook" autoCompressPictures="0"/>
  <bookViews>
    <workbookView xWindow="0" yWindow="0" windowWidth="28160" windowHeight="17540"/>
  </bookViews>
  <sheets>
    <sheet name="HabitationDetail" sheetId="1" r:id="rId1"/>
    <sheet name="Sheet2" sheetId="2" state="veryHidden" r:id="rId2"/>
    <sheet name="Sheet4" sheetId="4" state="hidden" r:id="rId3"/>
    <sheet name="Sheet3" sheetId="9" state="veryHidden" r:id="rId4"/>
    <sheet name="DDLDetail" sheetId="10" state="veryHidden" r:id="rId5"/>
  </sheets>
  <definedNames>
    <definedName name="_xlnm._FilterDatabase" localSheetId="0" hidden="1">HabitationDetail!$G$1:$G$80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6" i="9" l="1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CF18" i="9"/>
  <c r="CG18" i="9"/>
  <c r="CH18" i="9"/>
  <c r="CI18" i="9"/>
  <c r="CJ18" i="9"/>
  <c r="CK18" i="9"/>
  <c r="CL18" i="9"/>
  <c r="CM18" i="9"/>
  <c r="CN18" i="9"/>
  <c r="CO18" i="9"/>
  <c r="CP18" i="9"/>
  <c r="CQ18" i="9"/>
  <c r="CR18" i="9"/>
  <c r="CS18" i="9"/>
  <c r="CT18" i="9"/>
  <c r="CU18" i="9"/>
  <c r="CV18" i="9"/>
  <c r="CW18" i="9"/>
  <c r="CX18" i="9"/>
  <c r="CY18" i="9"/>
  <c r="CZ18" i="9"/>
  <c r="DA18" i="9"/>
  <c r="DB18" i="9"/>
  <c r="DC18" i="9"/>
  <c r="DD18" i="9"/>
  <c r="DE18" i="9"/>
  <c r="DF18" i="9"/>
  <c r="DG18" i="9"/>
  <c r="DH18" i="9"/>
  <c r="DI18" i="9"/>
  <c r="DJ18" i="9"/>
  <c r="DK18" i="9"/>
  <c r="DL18" i="9"/>
  <c r="DM18" i="9"/>
  <c r="DN18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</calcChain>
</file>

<file path=xl/sharedStrings.xml><?xml version="1.0" encoding="utf-8"?>
<sst xmlns="http://schemas.openxmlformats.org/spreadsheetml/2006/main" count="1024" uniqueCount="337">
  <si>
    <t>Existing Infrastructure</t>
  </si>
  <si>
    <t>Coverage of HouseHold</t>
  </si>
  <si>
    <t>KVA</t>
  </si>
  <si>
    <t>Block</t>
  </si>
  <si>
    <t>Village</t>
  </si>
  <si>
    <t>Census Code</t>
  </si>
  <si>
    <t>Total No.of RHhs in Habitation</t>
  </si>
  <si>
    <t>District</t>
  </si>
  <si>
    <t>No of Rhs Electrified as on date</t>
  </si>
  <si>
    <t>BPL Hhs proposed to be electrified under present scheme</t>
  </si>
  <si>
    <t>SlNO</t>
  </si>
  <si>
    <t>Please Enable Your Macro Setting To  work with Data Sheet.</t>
  </si>
  <si>
    <t xml:space="preserve">No of RHhs proposed to be electrified </t>
  </si>
  <si>
    <t>SecondTime</t>
  </si>
  <si>
    <t>Habitation Name</t>
  </si>
  <si>
    <t>Rural Households</t>
  </si>
  <si>
    <t>Existing Distribution Transformers (DT)</t>
  </si>
  <si>
    <t>Village Details</t>
  </si>
  <si>
    <t>Habitation Details</t>
  </si>
  <si>
    <t>Total</t>
  </si>
  <si>
    <t>Validation Pending</t>
  </si>
  <si>
    <t>DD Created</t>
  </si>
  <si>
    <t>Main Habitation of Village (Yes/No)</t>
  </si>
  <si>
    <t>Already sanctioned and under execution in RGGVY/State/other schemes</t>
  </si>
  <si>
    <t>Total No of Rhhs</t>
  </si>
  <si>
    <t>Total no of BPL Hhs</t>
  </si>
  <si>
    <t>1-PH</t>
  </si>
  <si>
    <t>OverHead</t>
  </si>
  <si>
    <t>AB Cable</t>
  </si>
  <si>
    <t>Existing LT Networks (in Kms)</t>
  </si>
  <si>
    <t>Existing Connected Load(in KW)</t>
  </si>
  <si>
    <t>Spare DT capacity(in KVA)</t>
  </si>
  <si>
    <t>Capacity</t>
  </si>
  <si>
    <t>Nos</t>
  </si>
  <si>
    <t>11KV Weasel Conductor Length(Kms)</t>
  </si>
  <si>
    <t>Type</t>
  </si>
  <si>
    <t>Length</t>
  </si>
  <si>
    <t>DTR Type</t>
  </si>
  <si>
    <t>3-PH</t>
  </si>
  <si>
    <t>Line</t>
  </si>
  <si>
    <t>New DTR</t>
  </si>
  <si>
    <t>Bay</t>
  </si>
  <si>
    <t>Conversion of LT Line to LT Line</t>
  </si>
  <si>
    <t>New LT Line</t>
  </si>
  <si>
    <t>Conversion of LT Line to 11KV(HVDS)</t>
  </si>
  <si>
    <t>New 11KV Line(From nearest Power Station)</t>
  </si>
  <si>
    <t>Capacity Augmntatiom of DTR</t>
  </si>
  <si>
    <t>16-25KVA</t>
  </si>
  <si>
    <t>25-63KVA</t>
  </si>
  <si>
    <t>63-100KVA</t>
  </si>
  <si>
    <t>Renovaton of DTS Sub Stations</t>
  </si>
  <si>
    <t>16KVA</t>
  </si>
  <si>
    <t>25KVA</t>
  </si>
  <si>
    <t>3KVA</t>
  </si>
  <si>
    <t>63KVA</t>
  </si>
  <si>
    <t>100KVA</t>
  </si>
  <si>
    <t>Renovation of DrthingTR Sub Station E</t>
  </si>
  <si>
    <t>Yes</t>
  </si>
  <si>
    <t>XII Plan</t>
  </si>
  <si>
    <t>11 KV / LT Lines</t>
  </si>
  <si>
    <t>Distribution Transformers</t>
  </si>
  <si>
    <t>Existing 11 KV Lines (kms)</t>
  </si>
  <si>
    <t>Existing 1 Phase LT Overhead lines (kms)</t>
  </si>
  <si>
    <t xml:space="preserve">Existing 3 Phase LT Overhead lines (kms) </t>
  </si>
  <si>
    <t xml:space="preserve">KVA rating </t>
  </si>
  <si>
    <t>Nos of DTRs</t>
  </si>
  <si>
    <t>BPL</t>
  </si>
  <si>
    <t>11 KV Lines</t>
  </si>
  <si>
    <t>single phase LT overhead Lines</t>
  </si>
  <si>
    <t>three phase Overhead LT overhead Lines</t>
  </si>
  <si>
    <t>Distribution Transformers substations</t>
  </si>
  <si>
    <t xml:space="preserve">Sanctioned BPL HH </t>
  </si>
  <si>
    <t xml:space="preserve">Executed BPL HH </t>
  </si>
  <si>
    <t xml:space="preserve">Sanctioned 11 KV Lines (kms) </t>
  </si>
  <si>
    <t xml:space="preserve">Executed 11 KV Lines (kms) </t>
  </si>
  <si>
    <t xml:space="preserve">Sanctioned single phase LT overhead Lines (kms) </t>
  </si>
  <si>
    <t xml:space="preserve">Executed  single phase LT Overhead linesLines (kms) </t>
  </si>
  <si>
    <t xml:space="preserve">Sanctioned three phase Overhead LT overhead Lines (kms) </t>
  </si>
  <si>
    <t xml:space="preserve">Executed  three phase LT Overhead linesLines (kms) </t>
  </si>
  <si>
    <t>Sanctioned Distribution Transformers substations</t>
  </si>
  <si>
    <t xml:space="preserve">Executed Distribution Transformers Substations </t>
  </si>
  <si>
    <t>XI Plan</t>
  </si>
  <si>
    <t xml:space="preserve">DDUGJY </t>
  </si>
  <si>
    <t xml:space="preserve">Total </t>
  </si>
  <si>
    <t>No of DTR</t>
  </si>
  <si>
    <t xml:space="preserve">Proposed New HH connection  </t>
  </si>
  <si>
    <t>Proposed New 11 KV</t>
  </si>
  <si>
    <t xml:space="preserve">Proposed New LT line </t>
  </si>
  <si>
    <t xml:space="preserve">Proposed Distribution Transformer Substations </t>
  </si>
  <si>
    <t>SECC</t>
  </si>
  <si>
    <t>APL</t>
  </si>
  <si>
    <t xml:space="preserve">ACSR Squirrel (20sqmm) </t>
  </si>
  <si>
    <t>ACSR Weasel (30sqmm)</t>
  </si>
  <si>
    <t xml:space="preserve">ACSR Rabbit (50 sqmm) </t>
  </si>
  <si>
    <t>Length(Kms)</t>
  </si>
  <si>
    <t>E+F+G+H</t>
  </si>
  <si>
    <t>J+K+L+M</t>
  </si>
  <si>
    <t>E-J</t>
  </si>
  <si>
    <t>F-K</t>
  </si>
  <si>
    <t>G-L</t>
  </si>
  <si>
    <t>H-M</t>
  </si>
  <si>
    <t>I-N</t>
  </si>
  <si>
    <t>T+U+V+W</t>
  </si>
  <si>
    <t>Y+Z+AA+AB</t>
  </si>
  <si>
    <t>T-Y</t>
  </si>
  <si>
    <t>U-Z</t>
  </si>
  <si>
    <t>V-AA</t>
  </si>
  <si>
    <t>W-AB</t>
  </si>
  <si>
    <t>X-AC</t>
  </si>
  <si>
    <t>Numeric:Y,0:N,Decimal:Y</t>
  </si>
  <si>
    <t>Numeric:Y,0:N,Decimal:N</t>
  </si>
  <si>
    <t>Numeric:Y,0:Y,Decimal:Y</t>
  </si>
  <si>
    <t>Numeric:Y,0:Y,Decimal:N</t>
  </si>
  <si>
    <t>Main Habitation</t>
  </si>
  <si>
    <t>LT Line</t>
  </si>
  <si>
    <t>No</t>
  </si>
  <si>
    <t>10 KVA (1 Ph)</t>
  </si>
  <si>
    <t>16 KVA (1 Ph)</t>
  </si>
  <si>
    <t>16 KVA (3 Ph)</t>
  </si>
  <si>
    <t>25 KVA (3 Ph)</t>
  </si>
  <si>
    <t>63 KVA (3 Ph)</t>
  </si>
  <si>
    <t>None</t>
  </si>
  <si>
    <t>1X16+1X25</t>
  </si>
  <si>
    <t>1X35+1X25</t>
  </si>
  <si>
    <t>3X35+1X25</t>
  </si>
  <si>
    <t>3X50+1X35</t>
  </si>
  <si>
    <t>5 KVA (1 Ph)</t>
  </si>
  <si>
    <t>RANGE:B</t>
  </si>
  <si>
    <t>RANGE:C</t>
  </si>
  <si>
    <t>XI Plan Ph-2</t>
  </si>
  <si>
    <t xml:space="preserve">BPL HH sanctioned but yet to be executed </t>
  </si>
  <si>
    <t xml:space="preserve">11 KV lines (kms) sanctioned but yet to be executed </t>
  </si>
  <si>
    <t xml:space="preserve">Single phase LT OH line  lines (kms) sanctioned but yet to be executed </t>
  </si>
  <si>
    <t xml:space="preserve">Three phase LT OH line  lines (kms) sanctioned but yet to be executed </t>
  </si>
  <si>
    <t xml:space="preserve">Distribution Transformers substation sanctioned but yet to be executed </t>
  </si>
  <si>
    <t>Status of Habitation</t>
  </si>
  <si>
    <t>Total No. of BPL Hhs in the habitation</t>
  </si>
  <si>
    <t>Total No of BPL Hhs Electrified as on 11/10/2017 in the habitation</t>
  </si>
  <si>
    <t>Balance No. of BPL Hhs to be electrified as on 11/10/2017</t>
  </si>
  <si>
    <t>Balance No. of RHhs to be electrified as on 11/10/2017</t>
  </si>
  <si>
    <t>Type of habitation</t>
  </si>
  <si>
    <t>SC/ST</t>
  </si>
  <si>
    <t>Forest</t>
  </si>
  <si>
    <t>RANGE:D</t>
  </si>
  <si>
    <t>RANGE:E</t>
  </si>
  <si>
    <t>Metered</t>
  </si>
  <si>
    <t>Unmetered</t>
  </si>
  <si>
    <t>Un-electrified</t>
  </si>
  <si>
    <t>Electrified through grid</t>
  </si>
  <si>
    <t>Electrified through off-grid</t>
  </si>
  <si>
    <t>Uninhabited</t>
  </si>
  <si>
    <t>General</t>
  </si>
  <si>
    <t>Total No of BPL Hhs Electrified as on 11/10/2017 in the habitation(Metered)</t>
  </si>
  <si>
    <t>RANGE:A</t>
  </si>
  <si>
    <t>Existing 1 Phase LT AB Cable (in Kms)</t>
  </si>
  <si>
    <t>Existing 3 Phase LT AB Cable (in Kms)</t>
  </si>
  <si>
    <t>Domestic</t>
  </si>
  <si>
    <t>Agriculture</t>
  </si>
  <si>
    <t>Industries</t>
  </si>
  <si>
    <t>Public Places</t>
  </si>
  <si>
    <t>Others (if any)</t>
  </si>
  <si>
    <t>Existing Loading in KW</t>
  </si>
  <si>
    <t>L+M+N+O+P</t>
  </si>
  <si>
    <t>Bare Conductor</t>
  </si>
  <si>
    <t>Cable</t>
  </si>
  <si>
    <t>AI+AJ+AK+AL+AM+AN+AO+AP</t>
  </si>
  <si>
    <t>AR+AS+AT+AU+AV+AW+AX+AY</t>
  </si>
  <si>
    <t>AI-AR</t>
  </si>
  <si>
    <t>AJ-AS</t>
  </si>
  <si>
    <t>AK-AT</t>
  </si>
  <si>
    <t>AL-AU</t>
  </si>
  <si>
    <t>AM-AV</t>
  </si>
  <si>
    <t>AN-AW</t>
  </si>
  <si>
    <t>AO-AX</t>
  </si>
  <si>
    <t>AP-AY</t>
  </si>
  <si>
    <t>AQ-AZ</t>
  </si>
  <si>
    <t>BJ+BK+BL+BM+BN+BO+BP+BQ</t>
  </si>
  <si>
    <t>BS+BT+BU+BV+BW+BX+BY+BZ</t>
  </si>
  <si>
    <t>BJ-BS</t>
  </si>
  <si>
    <t>BK-BT</t>
  </si>
  <si>
    <t>BL-BU</t>
  </si>
  <si>
    <t>BM-BV</t>
  </si>
  <si>
    <t>BN-BW</t>
  </si>
  <si>
    <t>BO-BX</t>
  </si>
  <si>
    <t>BP-BY</t>
  </si>
  <si>
    <t>BR-CA</t>
  </si>
  <si>
    <t>CK+CM+CO+CQ</t>
  </si>
  <si>
    <t>CL+CN+CP+CR</t>
  </si>
  <si>
    <t>CU+CW+CY+DA</t>
  </si>
  <si>
    <t>CV+CX+CZ+DB</t>
  </si>
  <si>
    <t>CK-CU</t>
  </si>
  <si>
    <t>CL-CV</t>
  </si>
  <si>
    <t>CM-CW</t>
  </si>
  <si>
    <t>CN-CX</t>
  </si>
  <si>
    <t>CO-CY</t>
  </si>
  <si>
    <t>CP-CZ</t>
  </si>
  <si>
    <t>CQ-DA</t>
  </si>
  <si>
    <t>CR-DB</t>
  </si>
  <si>
    <t>CS-DC</t>
  </si>
  <si>
    <t>CT-DD</t>
  </si>
  <si>
    <t>BQ-BZ</t>
  </si>
  <si>
    <t>E+F+G</t>
  </si>
  <si>
    <t>3,REF:L</t>
  </si>
  <si>
    <t>RANGE:C,UNIQUE:N</t>
  </si>
  <si>
    <t>RANGE:C,UNIQUE:L</t>
  </si>
  <si>
    <t>3,REF:N</t>
  </si>
  <si>
    <t>RANGE:B,UNIQUE:R</t>
  </si>
  <si>
    <t>4,REF:P</t>
  </si>
  <si>
    <t>RANGE:B,UNIQUE:P</t>
  </si>
  <si>
    <t>4,REF:R</t>
  </si>
  <si>
    <t>Proposed mode of electrification of balance households</t>
  </si>
  <si>
    <t>Proposed Mode</t>
  </si>
  <si>
    <t>Grid</t>
  </si>
  <si>
    <t>Off-Grid</t>
  </si>
  <si>
    <t>RANGE:F</t>
  </si>
  <si>
    <t>Tribal</t>
  </si>
  <si>
    <t>Status of Electrification of Habiattaion
 (Un-electrified/ Electrified through grid/ Electrified through Off-grid/ Uninhabited)</t>
  </si>
  <si>
    <t>Type of Habitation (SC/ST/Tribal/Forest/General)</t>
  </si>
  <si>
    <t>Total No.of RHhs (incl BPL) in Habitation</t>
  </si>
  <si>
    <t>Total No of RHhs (incl BPL) Electrified as on 11/10/2017 in the habitation</t>
  </si>
  <si>
    <t>Total No of RHhs (incl BPL) Electrified as on 11/10/2017 in the habitation(Metered)</t>
  </si>
  <si>
    <t>Total No of RHhs (incl BPL) Electrified as on 11/10/2017 in the habitation(Unmetered)</t>
  </si>
  <si>
    <t>Total No of BPL Hhs Electrified as on 11/10/2017 in the habitation(Unmetered)</t>
  </si>
  <si>
    <t>Habitation Category (I-no additional infrstructure required, II- significant infrastucture required, III -additional infrstructure required for some households and some households can be provided with existing infra structure</t>
  </si>
  <si>
    <t>Hab Category</t>
  </si>
  <si>
    <t>I</t>
  </si>
  <si>
    <t>II</t>
  </si>
  <si>
    <t>III</t>
  </si>
  <si>
    <t>RANGE:G</t>
  </si>
  <si>
    <t>I-J-K</t>
  </si>
  <si>
    <t>M-N-O</t>
  </si>
  <si>
    <t>Bishnupur</t>
  </si>
  <si>
    <t>MOIRANG</t>
  </si>
  <si>
    <t>Thamnapokpi</t>
  </si>
  <si>
    <t>269896</t>
  </si>
  <si>
    <t>ThamnapokpiMamang</t>
  </si>
  <si>
    <t>Ngangkha Lawai</t>
  </si>
  <si>
    <t>269897</t>
  </si>
  <si>
    <t>NAME</t>
  </si>
  <si>
    <t>NgangkhaLawai</t>
  </si>
  <si>
    <t>NgangkhaLawaiAwang</t>
  </si>
  <si>
    <t>Kwakta (Pt)</t>
  </si>
  <si>
    <t>269898</t>
  </si>
  <si>
    <t>Kwakta</t>
  </si>
  <si>
    <t>KwaktaAwang</t>
  </si>
  <si>
    <t>KwaktaKha</t>
  </si>
  <si>
    <t>KwaktaMoirangTurenbanMeitei</t>
  </si>
  <si>
    <t>KwaktaSanthongMeiteileikai</t>
  </si>
  <si>
    <t>KwaktaSevlaAwang</t>
  </si>
  <si>
    <t>KwaktaThingelLeikai</t>
  </si>
  <si>
    <t>Kha Thingungei</t>
  </si>
  <si>
    <t>269899</t>
  </si>
  <si>
    <t>ChandpurMamang</t>
  </si>
  <si>
    <t>ChandpurMerabam</t>
  </si>
  <si>
    <t>ChingmeiManing</t>
  </si>
  <si>
    <t>HougrampatManing</t>
  </si>
  <si>
    <t>KhaThingungei</t>
  </si>
  <si>
    <t>MoirangkhunouMamangSabal</t>
  </si>
  <si>
    <t>MoirangkhunouTongbram</t>
  </si>
  <si>
    <t>ThangaLawaiMamang</t>
  </si>
  <si>
    <t>Saiton</t>
  </si>
  <si>
    <t>269900</t>
  </si>
  <si>
    <t>KumbiSanlanKonjin</t>
  </si>
  <si>
    <t>LaishoiHutDweller</t>
  </si>
  <si>
    <t>NgairongMamang</t>
  </si>
  <si>
    <t>SaitonManing</t>
  </si>
  <si>
    <t>Karang</t>
  </si>
  <si>
    <t>269901</t>
  </si>
  <si>
    <t>KarangAwang</t>
  </si>
  <si>
    <t>Ithing</t>
  </si>
  <si>
    <t>269902</t>
  </si>
  <si>
    <t>IthingManing</t>
  </si>
  <si>
    <t>KarangMayai</t>
  </si>
  <si>
    <t>Thanga</t>
  </si>
  <si>
    <t>269903</t>
  </si>
  <si>
    <t>Khoirom</t>
  </si>
  <si>
    <t>ThangaChingkhaChairenlakpa</t>
  </si>
  <si>
    <t>ThangaChinglak</t>
  </si>
  <si>
    <t>ThangaHaobijam</t>
  </si>
  <si>
    <t>ThangaHeisnam</t>
  </si>
  <si>
    <t>ThangaIthingHeikol</t>
  </si>
  <si>
    <t>ThangaSalamMangkha</t>
  </si>
  <si>
    <t>ThangaSamukon</t>
  </si>
  <si>
    <t>ThangaTerapokpi</t>
  </si>
  <si>
    <t>ThangaThmnakhong</t>
  </si>
  <si>
    <t>ThangPlanetabi</t>
  </si>
  <si>
    <t>Sagang</t>
  </si>
  <si>
    <t>269905</t>
  </si>
  <si>
    <t>SagangManingMakha</t>
  </si>
  <si>
    <t>Wangoo Keirap</t>
  </si>
  <si>
    <t>269906</t>
  </si>
  <si>
    <t>TerakhongAwangLeikai</t>
  </si>
  <si>
    <t>WangooKeirap</t>
  </si>
  <si>
    <t>WapokpiMayai</t>
  </si>
  <si>
    <t>Torbung</t>
  </si>
  <si>
    <t>269907</t>
  </si>
  <si>
    <t>TorbungManingMakha</t>
  </si>
  <si>
    <t>Ithai</t>
  </si>
  <si>
    <t>269908</t>
  </si>
  <si>
    <t>IthaiWangma</t>
  </si>
  <si>
    <t>Wangoo Ahallup</t>
  </si>
  <si>
    <t>269909</t>
  </si>
  <si>
    <t>IthaikhunouManing</t>
  </si>
  <si>
    <t>IthaiLaikhongMakha</t>
  </si>
  <si>
    <t>KumbiMakhaLeikai</t>
  </si>
  <si>
    <t>KumbiSetupurManing</t>
  </si>
  <si>
    <t>WangooAhallup</t>
  </si>
  <si>
    <t>WangooAhallupSabal</t>
  </si>
  <si>
    <t>Chairen</t>
  </si>
  <si>
    <t>269910</t>
  </si>
  <si>
    <t>HaotakUchanMakhong</t>
  </si>
  <si>
    <t>KhoijumanTabi</t>
  </si>
  <si>
    <t>Kasom Tampak</t>
  </si>
  <si>
    <t>269911</t>
  </si>
  <si>
    <t>KasomTampak</t>
  </si>
  <si>
    <t>KasomTampakAwang</t>
  </si>
  <si>
    <t>Tangjeng</t>
  </si>
  <si>
    <t>269912</t>
  </si>
  <si>
    <t>Khulakpat</t>
  </si>
  <si>
    <t>Nungoo</t>
  </si>
  <si>
    <t>SandangkhongMakha</t>
  </si>
  <si>
    <t>Champu Khangpok</t>
  </si>
  <si>
    <t>269913</t>
  </si>
  <si>
    <t>ChampuKhangpok</t>
  </si>
  <si>
    <t>Wapokpi</t>
  </si>
  <si>
    <t>269914</t>
  </si>
  <si>
    <t>Nongmaikhong</t>
  </si>
  <si>
    <t>269915</t>
  </si>
  <si>
    <t>NongmaikhongMayai</t>
  </si>
  <si>
    <t>Khordak</t>
  </si>
  <si>
    <t>269916</t>
  </si>
  <si>
    <t>Khangadon</t>
  </si>
  <si>
    <t>Kumbi</t>
  </si>
  <si>
    <t>KumbiKangjeibung</t>
  </si>
  <si>
    <t>Processing Row-74/74</t>
  </si>
  <si>
    <t>Valid</t>
  </si>
  <si>
    <t>Validation Successful, Please upload file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</si>
</sst>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rgb="FFCC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C0C0"/>
        <bgColor indexed="64"/>
      </patternFill>
    </fill>
  </fills>
  <borders count="3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rgb="FF3F3F3F"/>
      </bottom>
      <diagonal/>
    </border>
    <border>
      <left style="thin">
        <color auto="1"/>
      </left>
      <right/>
      <top style="thin">
        <color rgb="FF3F3F3F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rgb="FF3F3F3F"/>
      </top>
      <bottom style="thin">
        <color auto="1"/>
      </bottom>
      <diagonal/>
    </border>
    <border>
      <left/>
      <right style="thin">
        <color auto="1"/>
      </right>
      <top style="thin">
        <color rgb="FF3F3F3F"/>
      </top>
      <bottom style="thin">
        <color auto="1"/>
      </bottom>
      <diagonal/>
    </border>
    <border>
      <left style="thin">
        <color auto="1"/>
      </left>
      <right/>
      <top style="thin">
        <color rgb="FF3F3F3F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6" fillId="5" borderId="6" applyNumberFormat="0" applyAlignment="0" applyProtection="0"/>
    <xf numFmtId="0" fontId="7" fillId="6" borderId="7" applyNumberFormat="0" applyAlignment="0" applyProtection="0"/>
    <xf numFmtId="0" fontId="3" fillId="7" borderId="0" applyNumberFormat="0" applyBorder="0" applyAlignment="0" applyProtection="0"/>
  </cellStyleXfs>
  <cellXfs count="226">
    <xf numFmtId="0" fontId="0" fillId="0" borderId="0" xfId="0"/>
    <xf numFmtId="0" fontId="3" fillId="0" borderId="0" xfId="0" applyFont="1"/>
    <xf numFmtId="1" fontId="1" fillId="2" borderId="0" xfId="0" quotePrefix="1" applyNumberFormat="1" applyFont="1" applyFill="1" applyAlignment="1" applyProtection="1">
      <protection locked="0"/>
    </xf>
    <xf numFmtId="1" fontId="1" fillId="2" borderId="1" xfId="0" quotePrefix="1" applyNumberFormat="1" applyFont="1" applyFill="1" applyBorder="1" applyAlignment="1" applyProtection="1">
      <protection locked="0"/>
    </xf>
    <xf numFmtId="1" fontId="1" fillId="2" borderId="12" xfId="0" quotePrefix="1" applyNumberFormat="1" applyFont="1" applyFill="1" applyBorder="1" applyAlignment="1" applyProtection="1">
      <protection locked="0"/>
    </xf>
    <xf numFmtId="1" fontId="1" fillId="2" borderId="13" xfId="0" quotePrefix="1" applyNumberFormat="1" applyFont="1" applyFill="1" applyBorder="1" applyAlignment="1" applyProtection="1">
      <protection locked="0"/>
    </xf>
    <xf numFmtId="49" fontId="5" fillId="4" borderId="5" xfId="0" applyNumberFormat="1" applyFont="1" applyFill="1" applyBorder="1" applyProtection="1">
      <protection locked="0"/>
    </xf>
    <xf numFmtId="0" fontId="5" fillId="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3" fillId="7" borderId="2" xfId="3" applyNumberFormat="1" applyBorder="1" applyAlignment="1" applyProtection="1">
      <alignment horizontal="center" vertical="top" wrapText="1"/>
      <protection locked="0"/>
    </xf>
    <xf numFmtId="1" fontId="7" fillId="6" borderId="7" xfId="2" applyNumberFormat="1" applyAlignment="1" applyProtection="1">
      <alignment horizontal="center" vertical="top"/>
      <protection locked="0"/>
    </xf>
    <xf numFmtId="2" fontId="3" fillId="7" borderId="4" xfId="3" applyNumberFormat="1" applyBorder="1" applyAlignment="1" applyProtection="1">
      <alignment horizontal="center" vertical="top" wrapText="1"/>
      <protection locked="0"/>
    </xf>
    <xf numFmtId="49" fontId="6" fillId="5" borderId="9" xfId="1" applyNumberFormat="1" applyBorder="1" applyAlignment="1" applyProtection="1">
      <alignment horizontal="left" vertical="top"/>
      <protection locked="0"/>
    </xf>
    <xf numFmtId="49" fontId="6" fillId="5" borderId="9" xfId="1" applyNumberFormat="1" applyBorder="1" applyAlignment="1" applyProtection="1">
      <alignment horizontal="left" vertical="center"/>
      <protection locked="0"/>
    </xf>
    <xf numFmtId="0" fontId="8" fillId="0" borderId="0" xfId="0" applyFont="1"/>
    <xf numFmtId="2" fontId="3" fillId="7" borderId="2" xfId="3" applyNumberFormat="1" applyBorder="1" applyAlignment="1" applyProtection="1">
      <alignment horizontal="center" vertical="top" wrapText="1"/>
      <protection locked="0"/>
    </xf>
    <xf numFmtId="0" fontId="7" fillId="6" borderId="18" xfId="2" applyBorder="1" applyAlignment="1" applyProtection="1">
      <alignment horizontal="center" vertical="top" wrapText="1"/>
      <protection locked="0"/>
    </xf>
    <xf numFmtId="0" fontId="6" fillId="5" borderId="2" xfId="1" applyBorder="1" applyAlignment="1" applyProtection="1">
      <alignment horizontal="center" vertical="center" wrapText="1"/>
      <protection locked="0"/>
    </xf>
    <xf numFmtId="1" fontId="7" fillId="6" borderId="18" xfId="2" applyNumberFormat="1" applyBorder="1" applyAlignment="1" applyProtection="1">
      <alignment horizontal="center" vertical="top" wrapText="1"/>
      <protection locked="0"/>
    </xf>
    <xf numFmtId="1" fontId="3" fillId="7" borderId="19" xfId="3" applyNumberFormat="1" applyBorder="1" applyAlignment="1" applyProtection="1">
      <alignment horizontal="center" vertical="top" wrapText="1"/>
      <protection locked="0"/>
    </xf>
    <xf numFmtId="1" fontId="6" fillId="5" borderId="15" xfId="1" applyNumberFormat="1" applyBorder="1" applyAlignment="1" applyProtection="1">
      <alignment vertical="top" wrapText="1"/>
      <protection locked="0"/>
    </xf>
    <xf numFmtId="1" fontId="6" fillId="5" borderId="16" xfId="1" applyNumberFormat="1" applyBorder="1" applyAlignment="1" applyProtection="1">
      <alignment vertical="top" wrapText="1"/>
      <protection locked="0"/>
    </xf>
    <xf numFmtId="1" fontId="3" fillId="7" borderId="23" xfId="3" applyNumberFormat="1" applyBorder="1" applyAlignment="1" applyProtection="1">
      <alignment horizontal="center" vertical="top" wrapText="1"/>
      <protection locked="0"/>
    </xf>
    <xf numFmtId="1" fontId="6" fillId="5" borderId="0" xfId="1" applyNumberFormat="1" applyBorder="1" applyAlignment="1" applyProtection="1">
      <alignment vertical="top" wrapText="1"/>
      <protection locked="0"/>
    </xf>
    <xf numFmtId="2" fontId="7" fillId="6" borderId="18" xfId="2" applyNumberFormat="1" applyBorder="1" applyAlignment="1" applyProtection="1">
      <alignment horizontal="center" vertical="top" wrapText="1"/>
      <protection locked="0"/>
    </xf>
    <xf numFmtId="0" fontId="6" fillId="5" borderId="15" xfId="1" applyBorder="1" applyAlignment="1" applyProtection="1">
      <alignment vertical="center"/>
      <protection locked="0"/>
    </xf>
    <xf numFmtId="0" fontId="6" fillId="5" borderId="2" xfId="1" applyBorder="1" applyAlignment="1" applyProtection="1">
      <alignment vertical="center" wrapText="1"/>
      <protection locked="0"/>
    </xf>
    <xf numFmtId="0" fontId="6" fillId="5" borderId="16" xfId="1" applyBorder="1" applyAlignment="1" applyProtection="1">
      <alignment vertical="center"/>
      <protection locked="0"/>
    </xf>
    <xf numFmtId="1" fontId="6" fillId="5" borderId="13" xfId="1" applyNumberFormat="1" applyBorder="1" applyAlignment="1" applyProtection="1">
      <protection locked="0"/>
    </xf>
    <xf numFmtId="1" fontId="6" fillId="5" borderId="27" xfId="1" applyNumberFormat="1" applyBorder="1" applyAlignment="1" applyProtection="1">
      <alignment horizontal="center" vertical="center"/>
      <protection locked="0"/>
    </xf>
    <xf numFmtId="1" fontId="6" fillId="5" borderId="29" xfId="1" applyNumberFormat="1" applyBorder="1" applyAlignment="1" applyProtection="1">
      <alignment horizontal="center" vertical="top" wrapText="1"/>
      <protection locked="0"/>
    </xf>
    <xf numFmtId="0" fontId="7" fillId="6" borderId="2" xfId="2" applyFont="1" applyBorder="1" applyAlignment="1" applyProtection="1">
      <alignment horizontal="center" vertical="center" wrapText="1"/>
      <protection locked="0"/>
    </xf>
    <xf numFmtId="0" fontId="9" fillId="5" borderId="9" xfId="1" applyNumberFormat="1" applyFont="1" applyBorder="1" applyAlignment="1" applyProtection="1">
      <alignment vertical="center"/>
      <protection locked="0"/>
    </xf>
    <xf numFmtId="0" fontId="9" fillId="5" borderId="10" xfId="1" applyNumberFormat="1" applyFont="1" applyBorder="1" applyAlignment="1" applyProtection="1">
      <alignment vertical="center"/>
      <protection locked="0"/>
    </xf>
    <xf numFmtId="49" fontId="9" fillId="5" borderId="15" xfId="1" applyNumberFormat="1" applyFont="1" applyBorder="1" applyAlignment="1" applyProtection="1">
      <alignment horizontal="left" vertical="top"/>
      <protection locked="0"/>
    </xf>
    <xf numFmtId="49" fontId="9" fillId="5" borderId="2" xfId="1" applyNumberFormat="1" applyFont="1" applyBorder="1" applyAlignment="1" applyProtection="1">
      <alignment horizontal="left" vertical="center"/>
      <protection locked="0"/>
    </xf>
    <xf numFmtId="0" fontId="9" fillId="5" borderId="32" xfId="1" applyNumberFormat="1" applyFont="1" applyBorder="1" applyAlignment="1" applyProtection="1">
      <alignment vertical="center"/>
      <protection locked="0"/>
    </xf>
    <xf numFmtId="0" fontId="9" fillId="5" borderId="30" xfId="1" applyNumberFormat="1" applyFont="1" applyBorder="1" applyAlignment="1" applyProtection="1">
      <alignment vertical="center"/>
      <protection locked="0"/>
    </xf>
    <xf numFmtId="0" fontId="9" fillId="5" borderId="31" xfId="1" applyNumberFormat="1" applyFont="1" applyBorder="1" applyAlignment="1" applyProtection="1">
      <alignment vertical="center"/>
      <protection locked="0"/>
    </xf>
    <xf numFmtId="49" fontId="9" fillId="5" borderId="4" xfId="1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wrapText="1"/>
    </xf>
    <xf numFmtId="0" fontId="10" fillId="5" borderId="14" xfId="1" applyNumberFormat="1" applyFont="1" applyBorder="1" applyAlignment="1" applyProtection="1">
      <alignment vertical="center"/>
      <protection locked="0"/>
    </xf>
    <xf numFmtId="0" fontId="10" fillId="5" borderId="29" xfId="1" applyNumberFormat="1" applyFont="1" applyBorder="1" applyAlignment="1" applyProtection="1">
      <alignment vertical="center"/>
      <protection locked="0"/>
    </xf>
    <xf numFmtId="0" fontId="10" fillId="5" borderId="3" xfId="1" applyNumberFormat="1" applyFont="1" applyBorder="1" applyAlignment="1" applyProtection="1">
      <alignment vertical="center"/>
      <protection locked="0"/>
    </xf>
    <xf numFmtId="0" fontId="10" fillId="5" borderId="23" xfId="1" applyNumberFormat="1" applyFont="1" applyBorder="1" applyAlignment="1" applyProtection="1">
      <alignment vertical="center"/>
      <protection locked="0"/>
    </xf>
    <xf numFmtId="0" fontId="10" fillId="5" borderId="0" xfId="1" applyNumberFormat="1" applyFont="1" applyBorder="1" applyAlignment="1" applyProtection="1">
      <alignment vertical="center"/>
      <protection locked="0"/>
    </xf>
    <xf numFmtId="0" fontId="10" fillId="5" borderId="1" xfId="1" applyNumberFormat="1" applyFont="1" applyBorder="1" applyAlignment="1" applyProtection="1">
      <alignment vertical="center"/>
      <protection locked="0"/>
    </xf>
    <xf numFmtId="0" fontId="10" fillId="5" borderId="26" xfId="1" applyNumberFormat="1" applyFont="1" applyBorder="1" applyAlignment="1" applyProtection="1">
      <alignment vertical="center"/>
      <protection locked="0"/>
    </xf>
    <xf numFmtId="0" fontId="10" fillId="5" borderId="28" xfId="1" applyNumberFormat="1" applyFont="1" applyBorder="1" applyAlignment="1" applyProtection="1">
      <alignment vertical="center"/>
      <protection locked="0"/>
    </xf>
    <xf numFmtId="0" fontId="10" fillId="5" borderId="27" xfId="1" applyNumberFormat="1" applyFont="1" applyBorder="1" applyAlignment="1" applyProtection="1">
      <alignment vertical="center"/>
      <protection locked="0"/>
    </xf>
    <xf numFmtId="0" fontId="0" fillId="0" borderId="0" xfId="0" quotePrefix="1" applyAlignment="1">
      <alignment wrapText="1"/>
    </xf>
    <xf numFmtId="2" fontId="0" fillId="0" borderId="0" xfId="0" applyNumberFormat="1" applyProtection="1">
      <protection locked="0"/>
    </xf>
    <xf numFmtId="1" fontId="8" fillId="0" borderId="0" xfId="0" applyNumberFormat="1" applyFont="1" applyProtection="1">
      <protection locked="0"/>
    </xf>
    <xf numFmtId="2" fontId="8" fillId="0" borderId="0" xfId="0" applyNumberFormat="1" applyFont="1" applyProtection="1">
      <protection locked="0"/>
    </xf>
    <xf numFmtId="0" fontId="7" fillId="6" borderId="2" xfId="2" applyFont="1" applyBorder="1" applyAlignment="1" applyProtection="1">
      <alignment horizontal="center" vertical="center" wrapText="1"/>
      <protection locked="0"/>
    </xf>
    <xf numFmtId="49" fontId="9" fillId="5" borderId="32" xfId="1" applyNumberFormat="1" applyFont="1" applyBorder="1" applyAlignment="1" applyProtection="1">
      <alignment vertical="center"/>
      <protection locked="0"/>
    </xf>
    <xf numFmtId="49" fontId="9" fillId="5" borderId="30" xfId="1" applyNumberFormat="1" applyFont="1" applyBorder="1" applyAlignment="1" applyProtection="1">
      <alignment vertical="center"/>
      <protection locked="0"/>
    </xf>
    <xf numFmtId="1" fontId="9" fillId="5" borderId="21" xfId="1" applyNumberFormat="1" applyFont="1" applyBorder="1" applyAlignment="1" applyProtection="1">
      <alignment vertical="center"/>
      <protection locked="0"/>
    </xf>
    <xf numFmtId="49" fontId="7" fillId="6" borderId="2" xfId="2" applyNumberFormat="1" applyFont="1" applyBorder="1" applyAlignment="1" applyProtection="1">
      <alignment horizontal="center" vertical="center" wrapText="1"/>
      <protection locked="0"/>
    </xf>
    <xf numFmtId="0" fontId="7" fillId="6" borderId="2" xfId="2" applyFont="1" applyBorder="1" applyAlignment="1" applyProtection="1">
      <alignment horizontal="center" vertical="center" wrapText="1"/>
      <protection locked="0"/>
    </xf>
    <xf numFmtId="0" fontId="9" fillId="5" borderId="20" xfId="1" applyNumberFormat="1" applyFont="1" applyBorder="1" applyAlignment="1" applyProtection="1">
      <alignment vertical="center"/>
      <protection locked="0"/>
    </xf>
    <xf numFmtId="0" fontId="9" fillId="5" borderId="21" xfId="1" applyNumberFormat="1" applyFont="1" applyBorder="1" applyAlignment="1" applyProtection="1">
      <alignment vertical="center"/>
      <protection locked="0"/>
    </xf>
    <xf numFmtId="49" fontId="5" fillId="4" borderId="34" xfId="0" applyNumberFormat="1" applyFont="1" applyFill="1" applyBorder="1" applyProtection="1">
      <protection locked="0"/>
    </xf>
    <xf numFmtId="1" fontId="5" fillId="4" borderId="34" xfId="0" applyNumberFormat="1" applyFont="1" applyFill="1" applyBorder="1" applyProtection="1">
      <protection locked="0"/>
    </xf>
    <xf numFmtId="0" fontId="7" fillId="6" borderId="4" xfId="2" applyFont="1" applyBorder="1" applyAlignment="1" applyProtection="1">
      <alignment vertical="center" wrapText="1"/>
      <protection locked="0"/>
    </xf>
    <xf numFmtId="49" fontId="7" fillId="6" borderId="4" xfId="2" applyNumberFormat="1" applyFont="1" applyBorder="1" applyAlignment="1" applyProtection="1">
      <alignment vertical="center" wrapText="1"/>
      <protection locked="0"/>
    </xf>
    <xf numFmtId="1" fontId="7" fillId="6" borderId="4" xfId="2" applyNumberFormat="1" applyFont="1" applyBorder="1" applyAlignment="1" applyProtection="1">
      <alignment vertical="center" wrapText="1"/>
      <protection locked="0"/>
    </xf>
    <xf numFmtId="0" fontId="0" fillId="19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5" borderId="4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5" borderId="0" xfId="1" applyNumberFormat="1" applyFont="1" applyBorder="1" applyAlignment="1" applyProtection="1">
      <alignment horizontal="center" vertical="center"/>
      <protection locked="0"/>
    </xf>
    <xf numFmtId="0" fontId="0" fillId="15" borderId="4" xfId="0" applyFill="1" applyBorder="1" applyAlignment="1">
      <alignment vertical="center" wrapText="1"/>
    </xf>
    <xf numFmtId="0" fontId="0" fillId="16" borderId="4" xfId="0" applyFill="1" applyBorder="1" applyAlignment="1">
      <alignment vertical="center" wrapText="1"/>
    </xf>
    <xf numFmtId="0" fontId="0" fillId="17" borderId="20" xfId="0" applyFill="1" applyBorder="1" applyAlignment="1">
      <alignment vertical="center" wrapText="1"/>
    </xf>
    <xf numFmtId="0" fontId="0" fillId="17" borderId="22" xfId="0" applyFill="1" applyBorder="1" applyAlignment="1">
      <alignment vertical="center" wrapText="1"/>
    </xf>
    <xf numFmtId="0" fontId="0" fillId="18" borderId="20" xfId="0" applyFill="1" applyBorder="1" applyAlignment="1">
      <alignment vertical="center" wrapText="1"/>
    </xf>
    <xf numFmtId="0" fontId="0" fillId="18" borderId="22" xfId="0" applyFill="1" applyBorder="1" applyAlignment="1">
      <alignment vertical="center" wrapText="1"/>
    </xf>
    <xf numFmtId="0" fontId="0" fillId="19" borderId="20" xfId="0" applyFill="1" applyBorder="1" applyAlignment="1">
      <alignment vertical="center" wrapText="1"/>
    </xf>
    <xf numFmtId="0" fontId="0" fillId="19" borderId="22" xfId="0" applyFill="1" applyBorder="1" applyAlignment="1">
      <alignment vertical="center" wrapText="1"/>
    </xf>
    <xf numFmtId="0" fontId="0" fillId="15" borderId="19" xfId="0" applyFill="1" applyBorder="1" applyAlignment="1">
      <alignment vertical="center" wrapText="1"/>
    </xf>
    <xf numFmtId="0" fontId="0" fillId="16" borderId="19" xfId="0" applyFill="1" applyBorder="1" applyAlignment="1">
      <alignment vertical="center" wrapText="1"/>
    </xf>
    <xf numFmtId="0" fontId="7" fillId="6" borderId="35" xfId="2" applyFont="1" applyBorder="1" applyAlignment="1" applyProtection="1">
      <alignment horizontal="center" vertical="center" wrapText="1"/>
      <protection locked="0"/>
    </xf>
    <xf numFmtId="0" fontId="9" fillId="5" borderId="14" xfId="1" applyNumberFormat="1" applyFont="1" applyBorder="1" applyAlignment="1" applyProtection="1">
      <alignment vertical="center"/>
      <protection locked="0"/>
    </xf>
    <xf numFmtId="0" fontId="9" fillId="5" borderId="29" xfId="1" applyNumberFormat="1" applyFont="1" applyBorder="1" applyAlignment="1" applyProtection="1">
      <alignment vertical="center"/>
      <protection locked="0"/>
    </xf>
    <xf numFmtId="1" fontId="9" fillId="5" borderId="29" xfId="1" applyNumberFormat="1" applyFont="1" applyBorder="1" applyAlignment="1" applyProtection="1">
      <alignment vertical="center"/>
      <protection locked="0"/>
    </xf>
    <xf numFmtId="1" fontId="9" fillId="5" borderId="3" xfId="1" applyNumberFormat="1" applyFont="1" applyBorder="1" applyAlignment="1" applyProtection="1">
      <alignment horizontal="center" vertical="center"/>
      <protection locked="0"/>
    </xf>
    <xf numFmtId="1" fontId="9" fillId="5" borderId="22" xfId="1" applyNumberFormat="1" applyFont="1" applyBorder="1" applyAlignment="1" applyProtection="1">
      <alignment horizontal="center" vertical="center"/>
      <protection locked="0"/>
    </xf>
    <xf numFmtId="1" fontId="7" fillId="6" borderId="2" xfId="2" applyNumberFormat="1" applyFont="1" applyBorder="1" applyAlignment="1" applyProtection="1">
      <alignment horizontal="center" vertical="center" wrapText="1"/>
      <protection locked="0"/>
    </xf>
    <xf numFmtId="0" fontId="13" fillId="5" borderId="29" xfId="1" applyNumberFormat="1" applyFont="1" applyBorder="1" applyAlignment="1" applyProtection="1">
      <alignment vertical="center"/>
      <protection locked="0"/>
    </xf>
    <xf numFmtId="0" fontId="0" fillId="13" borderId="20" xfId="0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 vertical="center" wrapText="1"/>
    </xf>
    <xf numFmtId="49" fontId="0" fillId="8" borderId="5" xfId="0" applyNumberFormat="1" applyFill="1" applyBorder="1" applyProtection="1">
      <protection locked="0"/>
    </xf>
    <xf numFmtId="1" fontId="0" fillId="8" borderId="5" xfId="0" applyNumberFormat="1" applyFill="1" applyBorder="1" applyProtection="1">
      <protection locked="0"/>
    </xf>
    <xf numFmtId="0" fontId="0" fillId="8" borderId="5" xfId="0" applyFill="1" applyBorder="1"/>
    <xf numFmtId="0" fontId="0" fillId="8" borderId="5" xfId="0" applyFill="1" applyBorder="1" applyAlignment="1">
      <alignment horizontal="center" vertical="center"/>
    </xf>
    <xf numFmtId="1" fontId="0" fillId="14" borderId="4" xfId="0" applyNumberFormat="1" applyFill="1" applyBorder="1" applyAlignment="1">
      <alignment horizontal="center" vertical="center" wrapText="1"/>
    </xf>
    <xf numFmtId="1" fontId="0" fillId="8" borderId="5" xfId="0" applyNumberFormat="1" applyFill="1" applyBorder="1" applyAlignment="1">
      <alignment horizontal="center" vertical="center"/>
    </xf>
    <xf numFmtId="1" fontId="0" fillId="8" borderId="5" xfId="0" applyNumberFormat="1" applyFill="1" applyBorder="1" applyAlignment="1">
      <alignment horizontal="center" vertical="center" wrapText="1"/>
    </xf>
    <xf numFmtId="1" fontId="0" fillId="8" borderId="5" xfId="0" applyNumberFormat="1" applyFill="1" applyBorder="1"/>
    <xf numFmtId="1" fontId="0" fillId="8" borderId="5" xfId="0" applyNumberFormat="1" applyFill="1" applyBorder="1" applyAlignment="1" applyProtection="1">
      <alignment horizontal="left"/>
      <protection locked="0"/>
    </xf>
    <xf numFmtId="1" fontId="7" fillId="6" borderId="2" xfId="2" applyNumberFormat="1" applyFont="1" applyBorder="1" applyAlignment="1" applyProtection="1">
      <alignment horizontal="center" vertical="center" wrapText="1"/>
      <protection locked="0"/>
    </xf>
    <xf numFmtId="1" fontId="0" fillId="8" borderId="5" xfId="0" applyNumberFormat="1" applyFill="1" applyBorder="1" applyAlignment="1">
      <alignment horizontal="center"/>
    </xf>
    <xf numFmtId="0" fontId="0" fillId="20" borderId="5" xfId="0" applyFill="1" applyBorder="1" applyAlignment="1">
      <alignment horizontal="center" vertical="center" wrapText="1"/>
    </xf>
    <xf numFmtId="0" fontId="0" fillId="20" borderId="5" xfId="0" applyFill="1" applyBorder="1"/>
    <xf numFmtId="0" fontId="0" fillId="20" borderId="5" xfId="0" applyFill="1" applyBorder="1" applyAlignment="1">
      <alignment horizontal="center" vertical="center"/>
    </xf>
    <xf numFmtId="1" fontId="0" fillId="20" borderId="5" xfId="0" applyNumberFormat="1" applyFill="1" applyBorder="1" applyAlignment="1">
      <alignment horizontal="center" vertical="center"/>
    </xf>
    <xf numFmtId="1" fontId="0" fillId="20" borderId="5" xfId="0" applyNumberFormat="1" applyFill="1" applyBorder="1" applyAlignment="1">
      <alignment horizontal="center" vertical="center" wrapText="1"/>
    </xf>
    <xf numFmtId="1" fontId="0" fillId="20" borderId="5" xfId="0" applyNumberFormat="1" applyFill="1" applyBorder="1"/>
    <xf numFmtId="1" fontId="0" fillId="20" borderId="5" xfId="0" applyNumberFormat="1" applyFill="1" applyBorder="1" applyProtection="1">
      <protection locked="0"/>
    </xf>
    <xf numFmtId="49" fontId="0" fillId="20" borderId="5" xfId="0" applyNumberFormat="1" applyFill="1" applyBorder="1" applyProtection="1">
      <protection locked="0"/>
    </xf>
    <xf numFmtId="1" fontId="0" fillId="20" borderId="5" xfId="0" applyNumberFormat="1" applyFill="1" applyBorder="1" applyAlignment="1" applyProtection="1">
      <alignment horizontal="left"/>
      <protection locked="0"/>
    </xf>
    <xf numFmtId="49" fontId="2" fillId="8" borderId="33" xfId="0" applyNumberFormat="1" applyFont="1" applyFill="1" applyBorder="1" applyAlignment="1" applyProtection="1">
      <alignment horizontal="center"/>
      <protection locked="0"/>
    </xf>
    <xf numFmtId="49" fontId="2" fillId="8" borderId="0" xfId="0" applyNumberFormat="1" applyFont="1" applyFill="1" applyBorder="1" applyAlignment="1" applyProtection="1">
      <alignment horizontal="center"/>
      <protection locked="0"/>
    </xf>
    <xf numFmtId="0" fontId="7" fillId="6" borderId="2" xfId="2" applyFont="1" applyBorder="1" applyAlignment="1" applyProtection="1">
      <alignment horizontal="center" vertical="center" wrapText="1"/>
      <protection locked="0"/>
    </xf>
    <xf numFmtId="49" fontId="7" fillId="6" borderId="2" xfId="2" applyNumberFormat="1" applyFont="1" applyBorder="1" applyAlignment="1" applyProtection="1">
      <alignment horizontal="center" vertical="center" wrapText="1"/>
      <protection locked="0"/>
    </xf>
    <xf numFmtId="1" fontId="7" fillId="6" borderId="2" xfId="2" applyNumberFormat="1" applyFont="1" applyBorder="1" applyAlignment="1" applyProtection="1">
      <alignment horizontal="center" vertical="center" wrapText="1"/>
      <protection locked="0"/>
    </xf>
    <xf numFmtId="1" fontId="7" fillId="6" borderId="4" xfId="2" applyNumberFormat="1" applyFont="1" applyBorder="1" applyAlignment="1" applyProtection="1">
      <alignment horizontal="center" vertical="center" wrapText="1"/>
      <protection locked="0"/>
    </xf>
    <xf numFmtId="1" fontId="7" fillId="6" borderId="19" xfId="2" applyNumberFormat="1" applyFont="1" applyBorder="1" applyAlignment="1" applyProtection="1">
      <alignment horizontal="center" vertical="center" wrapText="1"/>
      <protection locked="0"/>
    </xf>
    <xf numFmtId="1" fontId="11" fillId="3" borderId="28" xfId="0" applyNumberFormat="1" applyFont="1" applyFill="1" applyBorder="1" applyAlignment="1" applyProtection="1">
      <alignment horizontal="left"/>
      <protection locked="0"/>
    </xf>
    <xf numFmtId="0" fontId="7" fillId="6" borderId="4" xfId="2" applyFont="1" applyBorder="1" applyAlignment="1" applyProtection="1">
      <alignment horizontal="center" vertical="center" wrapText="1"/>
      <protection locked="0"/>
    </xf>
    <xf numFmtId="0" fontId="7" fillId="6" borderId="19" xfId="2" applyFont="1" applyBorder="1" applyAlignment="1" applyProtection="1">
      <alignment horizontal="center" vertical="center" wrapText="1"/>
      <protection locked="0"/>
    </xf>
    <xf numFmtId="0" fontId="6" fillId="5" borderId="25" xfId="1" applyBorder="1" applyAlignment="1" applyProtection="1">
      <alignment horizontal="center" vertical="center"/>
      <protection locked="0"/>
    </xf>
    <xf numFmtId="0" fontId="6" fillId="5" borderId="16" xfId="1" applyBorder="1" applyAlignment="1" applyProtection="1">
      <alignment horizontal="center" vertical="center"/>
      <protection locked="0"/>
    </xf>
    <xf numFmtId="0" fontId="6" fillId="5" borderId="9" xfId="1" applyNumberFormat="1" applyBorder="1" applyAlignment="1" applyProtection="1">
      <alignment horizontal="left" vertical="center"/>
      <protection locked="0"/>
    </xf>
    <xf numFmtId="0" fontId="0" fillId="0" borderId="10" xfId="0" applyBorder="1" applyProtection="1">
      <protection locked="0"/>
    </xf>
    <xf numFmtId="0" fontId="6" fillId="5" borderId="20" xfId="1" applyBorder="1" applyAlignment="1" applyProtection="1">
      <alignment horizontal="center" vertical="center" wrapText="1"/>
      <protection locked="0"/>
    </xf>
    <xf numFmtId="0" fontId="6" fillId="5" borderId="21" xfId="1" applyBorder="1" applyAlignment="1" applyProtection="1">
      <alignment horizontal="center" vertical="center" wrapText="1"/>
      <protection locked="0"/>
    </xf>
    <xf numFmtId="0" fontId="6" fillId="5" borderId="22" xfId="1" applyBorder="1" applyAlignment="1" applyProtection="1">
      <alignment horizontal="center" vertical="center" wrapText="1"/>
      <protection locked="0"/>
    </xf>
    <xf numFmtId="0" fontId="6" fillId="5" borderId="26" xfId="1" applyBorder="1" applyAlignment="1" applyProtection="1">
      <alignment horizontal="center" vertical="center" wrapText="1"/>
      <protection locked="0"/>
    </xf>
    <xf numFmtId="0" fontId="6" fillId="5" borderId="28" xfId="1" applyBorder="1" applyAlignment="1" applyProtection="1">
      <alignment horizontal="center" vertical="center" wrapText="1"/>
      <protection locked="0"/>
    </xf>
    <xf numFmtId="0" fontId="6" fillId="5" borderId="27" xfId="1" applyBorder="1" applyAlignment="1" applyProtection="1">
      <alignment horizontal="center" vertical="center" wrapText="1"/>
      <protection locked="0"/>
    </xf>
    <xf numFmtId="1" fontId="6" fillId="5" borderId="26" xfId="1" applyNumberFormat="1" applyBorder="1" applyAlignment="1" applyProtection="1">
      <alignment horizontal="center"/>
      <protection locked="0"/>
    </xf>
    <xf numFmtId="1" fontId="6" fillId="5" borderId="28" xfId="1" applyNumberFormat="1" applyBorder="1" applyAlignment="1" applyProtection="1">
      <alignment horizontal="center"/>
      <protection locked="0"/>
    </xf>
    <xf numFmtId="1" fontId="6" fillId="5" borderId="27" xfId="1" applyNumberFormat="1" applyBorder="1" applyAlignment="1" applyProtection="1">
      <alignment horizontal="center"/>
      <protection locked="0"/>
    </xf>
    <xf numFmtId="1" fontId="6" fillId="5" borderId="14" xfId="1" applyNumberFormat="1" applyBorder="1" applyAlignment="1" applyProtection="1">
      <alignment horizontal="center" vertical="top" wrapText="1"/>
      <protection locked="0"/>
    </xf>
    <xf numFmtId="1" fontId="6" fillId="5" borderId="3" xfId="1" applyNumberFormat="1" applyBorder="1" applyAlignment="1" applyProtection="1">
      <alignment horizontal="center" vertical="top" wrapText="1"/>
      <protection locked="0"/>
    </xf>
    <xf numFmtId="1" fontId="6" fillId="5" borderId="26" xfId="1" applyNumberFormat="1" applyBorder="1" applyAlignment="1" applyProtection="1">
      <alignment horizontal="center" vertical="top" wrapText="1"/>
      <protection locked="0"/>
    </xf>
    <xf numFmtId="1" fontId="6" fillId="5" borderId="27" xfId="1" applyNumberFormat="1" applyBorder="1" applyAlignment="1" applyProtection="1">
      <alignment horizontal="center" vertical="top" wrapText="1"/>
      <protection locked="0"/>
    </xf>
    <xf numFmtId="1" fontId="6" fillId="5" borderId="14" xfId="1" applyNumberFormat="1" applyBorder="1" applyAlignment="1" applyProtection="1">
      <alignment horizontal="center" vertical="center"/>
      <protection locked="0"/>
    </xf>
    <xf numFmtId="1" fontId="6" fillId="5" borderId="3" xfId="1" applyNumberFormat="1" applyBorder="1" applyAlignment="1" applyProtection="1">
      <alignment horizontal="center" vertical="center"/>
      <protection locked="0"/>
    </xf>
    <xf numFmtId="1" fontId="6" fillId="5" borderId="26" xfId="1" applyNumberFormat="1" applyBorder="1" applyAlignment="1" applyProtection="1">
      <alignment horizontal="center" vertical="center"/>
      <protection locked="0"/>
    </xf>
    <xf numFmtId="1" fontId="6" fillId="5" borderId="27" xfId="1" applyNumberFormat="1" applyBorder="1" applyAlignment="1" applyProtection="1">
      <alignment horizontal="center" vertical="center"/>
      <protection locked="0"/>
    </xf>
    <xf numFmtId="1" fontId="6" fillId="5" borderId="29" xfId="1" applyNumberFormat="1" applyBorder="1" applyAlignment="1" applyProtection="1">
      <alignment horizontal="center" vertical="top" wrapText="1"/>
      <protection locked="0"/>
    </xf>
    <xf numFmtId="1" fontId="6" fillId="5" borderId="28" xfId="1" applyNumberFormat="1" applyBorder="1" applyAlignment="1" applyProtection="1">
      <alignment horizontal="center" vertical="top" wrapText="1"/>
      <protection locked="0"/>
    </xf>
    <xf numFmtId="1" fontId="6" fillId="5" borderId="20" xfId="1" applyNumberFormat="1" applyBorder="1" applyAlignment="1" applyProtection="1">
      <alignment horizontal="center" vertical="top" wrapText="1"/>
      <protection locked="0"/>
    </xf>
    <xf numFmtId="1" fontId="6" fillId="5" borderId="21" xfId="1" applyNumberFormat="1" applyBorder="1" applyAlignment="1" applyProtection="1">
      <alignment horizontal="center" vertical="top" wrapText="1"/>
      <protection locked="0"/>
    </xf>
    <xf numFmtId="1" fontId="6" fillId="5" borderId="22" xfId="1" applyNumberFormat="1" applyBorder="1" applyAlignment="1" applyProtection="1">
      <alignment horizontal="center" vertical="top" wrapText="1"/>
      <protection locked="0"/>
    </xf>
    <xf numFmtId="1" fontId="6" fillId="5" borderId="4" xfId="1" applyNumberFormat="1" applyBorder="1" applyAlignment="1" applyProtection="1">
      <alignment horizontal="center" vertical="center"/>
      <protection locked="0"/>
    </xf>
    <xf numFmtId="1" fontId="6" fillId="5" borderId="19" xfId="1" applyNumberFormat="1" applyBorder="1" applyAlignment="1" applyProtection="1">
      <alignment horizontal="center" vertical="center"/>
      <protection locked="0"/>
    </xf>
    <xf numFmtId="49" fontId="2" fillId="2" borderId="13" xfId="0" applyNumberFormat="1" applyFont="1" applyFill="1" applyBorder="1" applyAlignment="1" applyProtection="1">
      <alignment horizontal="center"/>
      <protection locked="0"/>
    </xf>
    <xf numFmtId="0" fontId="4" fillId="3" borderId="13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6" fillId="5" borderId="10" xfId="1" applyNumberFormat="1" applyBorder="1" applyAlignment="1" applyProtection="1">
      <alignment horizontal="left" vertical="center"/>
      <protection locked="0"/>
    </xf>
    <xf numFmtId="0" fontId="6" fillId="5" borderId="11" xfId="1" applyNumberFormat="1" applyBorder="1" applyAlignment="1" applyProtection="1">
      <alignment horizontal="left" vertical="center"/>
      <protection locked="0"/>
    </xf>
    <xf numFmtId="0" fontId="6" fillId="5" borderId="20" xfId="1" applyBorder="1" applyAlignment="1" applyProtection="1">
      <alignment horizontal="center" vertical="center"/>
      <protection locked="0"/>
    </xf>
    <xf numFmtId="0" fontId="6" fillId="5" borderId="21" xfId="1" applyBorder="1" applyAlignment="1" applyProtection="1">
      <alignment horizontal="center" vertical="center"/>
      <protection locked="0"/>
    </xf>
    <xf numFmtId="0" fontId="6" fillId="5" borderId="22" xfId="1" applyBorder="1" applyAlignment="1" applyProtection="1">
      <alignment horizontal="center" vertical="center"/>
      <protection locked="0"/>
    </xf>
    <xf numFmtId="1" fontId="6" fillId="5" borderId="23" xfId="1" applyNumberFormat="1" applyBorder="1" applyAlignment="1" applyProtection="1">
      <alignment horizontal="center" vertical="top" wrapText="1"/>
      <protection locked="0"/>
    </xf>
    <xf numFmtId="1" fontId="6" fillId="5" borderId="1" xfId="1" applyNumberFormat="1" applyBorder="1" applyAlignment="1" applyProtection="1">
      <alignment horizontal="center" vertical="top" wrapText="1"/>
      <protection locked="0"/>
    </xf>
    <xf numFmtId="0" fontId="0" fillId="0" borderId="16" xfId="0" applyBorder="1" applyProtection="1">
      <protection locked="0"/>
    </xf>
    <xf numFmtId="1" fontId="6" fillId="5" borderId="20" xfId="1" applyNumberFormat="1" applyBorder="1" applyAlignment="1" applyProtection="1">
      <alignment horizontal="center" vertical="center" wrapText="1"/>
      <protection locked="0"/>
    </xf>
    <xf numFmtId="1" fontId="6" fillId="5" borderId="22" xfId="1" applyNumberFormat="1" applyBorder="1" applyAlignment="1" applyProtection="1">
      <alignment horizontal="center" vertical="center" wrapText="1"/>
      <protection locked="0"/>
    </xf>
    <xf numFmtId="1" fontId="6" fillId="5" borderId="24" xfId="1" applyNumberFormat="1" applyBorder="1" applyAlignment="1" applyProtection="1">
      <alignment horizontal="center" vertical="center" wrapText="1"/>
      <protection locked="0"/>
    </xf>
    <xf numFmtId="1" fontId="6" fillId="5" borderId="8" xfId="1" applyNumberFormat="1" applyBorder="1" applyAlignment="1" applyProtection="1">
      <alignment horizontal="center" vertical="center" wrapText="1"/>
      <protection locked="0"/>
    </xf>
    <xf numFmtId="1" fontId="6" fillId="5" borderId="17" xfId="1" applyNumberFormat="1" applyBorder="1" applyAlignment="1" applyProtection="1">
      <alignment horizontal="center" vertical="center" wrapText="1"/>
      <protection locked="0"/>
    </xf>
    <xf numFmtId="0" fontId="9" fillId="5" borderId="2" xfId="1" applyFont="1" applyBorder="1" applyAlignment="1" applyProtection="1">
      <alignment horizontal="center" vertical="center"/>
      <protection locked="0"/>
    </xf>
    <xf numFmtId="0" fontId="9" fillId="5" borderId="20" xfId="1" applyFont="1" applyBorder="1" applyAlignment="1" applyProtection="1">
      <alignment horizontal="center" vertical="center"/>
      <protection locked="0"/>
    </xf>
    <xf numFmtId="0" fontId="9" fillId="5" borderId="21" xfId="1" applyFont="1" applyBorder="1" applyAlignment="1" applyProtection="1">
      <alignment horizontal="center" vertical="center"/>
      <protection locked="0"/>
    </xf>
    <xf numFmtId="0" fontId="9" fillId="5" borderId="32" xfId="1" applyNumberFormat="1" applyFont="1" applyBorder="1" applyAlignment="1" applyProtection="1">
      <alignment horizontal="center" vertical="center"/>
      <protection locked="0"/>
    </xf>
    <xf numFmtId="0" fontId="9" fillId="5" borderId="30" xfId="1" applyNumberFormat="1" applyFont="1" applyBorder="1" applyAlignment="1" applyProtection="1">
      <alignment horizontal="center" vertical="center"/>
      <protection locked="0"/>
    </xf>
    <xf numFmtId="0" fontId="9" fillId="5" borderId="2" xfId="1" applyNumberFormat="1" applyFont="1" applyBorder="1" applyAlignment="1" applyProtection="1">
      <alignment horizontal="center" vertical="center"/>
      <protection locked="0"/>
    </xf>
    <xf numFmtId="0" fontId="0" fillId="9" borderId="2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0" fillId="13" borderId="20" xfId="0" applyFill="1" applyBorder="1" applyAlignment="1">
      <alignment horizontal="center" vertical="center" wrapText="1"/>
    </xf>
    <xf numFmtId="0" fontId="6" fillId="5" borderId="20" xfId="1" applyFont="1" applyBorder="1" applyAlignment="1" applyProtection="1">
      <alignment horizontal="center" vertical="center"/>
      <protection locked="0"/>
    </xf>
    <xf numFmtId="0" fontId="6" fillId="5" borderId="21" xfId="1" applyFont="1" applyBorder="1" applyAlignment="1" applyProtection="1">
      <alignment horizontal="center" vertical="center"/>
      <protection locked="0"/>
    </xf>
    <xf numFmtId="0" fontId="6" fillId="5" borderId="22" xfId="1" applyFont="1" applyBorder="1" applyAlignment="1" applyProtection="1">
      <alignment horizontal="center" vertical="center"/>
      <protection locked="0"/>
    </xf>
    <xf numFmtId="0" fontId="6" fillId="5" borderId="2" xfId="1" applyFont="1" applyBorder="1" applyAlignment="1" applyProtection="1">
      <alignment horizontal="center" vertical="center"/>
      <protection locked="0"/>
    </xf>
    <xf numFmtId="0" fontId="0" fillId="11" borderId="4" xfId="0" applyFill="1" applyBorder="1" applyAlignment="1">
      <alignment horizontal="center" vertical="center" wrapText="1"/>
    </xf>
    <xf numFmtId="0" fontId="0" fillId="11" borderId="19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9" borderId="19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  <xf numFmtId="0" fontId="7" fillId="6" borderId="3" xfId="2" applyFont="1" applyBorder="1" applyAlignment="1" applyProtection="1">
      <alignment horizontal="center" vertical="center" wrapText="1"/>
      <protection locked="0"/>
    </xf>
    <xf numFmtId="0" fontId="7" fillId="6" borderId="1" xfId="2" applyFont="1" applyBorder="1" applyAlignment="1" applyProtection="1">
      <alignment horizontal="center" vertical="center" wrapText="1"/>
      <protection locked="0"/>
    </xf>
    <xf numFmtId="49" fontId="7" fillId="6" borderId="4" xfId="2" applyNumberFormat="1" applyFont="1" applyBorder="1" applyAlignment="1" applyProtection="1">
      <alignment horizontal="center" vertical="center" wrapText="1"/>
      <protection locked="0"/>
    </xf>
    <xf numFmtId="49" fontId="7" fillId="6" borderId="19" xfId="2" applyNumberFormat="1" applyFont="1" applyBorder="1" applyAlignment="1" applyProtection="1">
      <alignment horizontal="center" vertical="center" wrapText="1"/>
      <protection locked="0"/>
    </xf>
    <xf numFmtId="0" fontId="0" fillId="12" borderId="4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0" fillId="13" borderId="4" xfId="0" applyFill="1" applyBorder="1" applyAlignment="1">
      <alignment horizontal="center" vertical="center" wrapText="1"/>
    </xf>
    <xf numFmtId="0" fontId="0" fillId="13" borderId="19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13" borderId="14" xfId="0" applyFill="1" applyBorder="1" applyAlignment="1">
      <alignment horizontal="center" vertical="center" wrapText="1"/>
    </xf>
    <xf numFmtId="0" fontId="0" fillId="13" borderId="26" xfId="0" applyFill="1" applyBorder="1" applyAlignment="1">
      <alignment horizontal="center" vertical="center" wrapText="1"/>
    </xf>
    <xf numFmtId="0" fontId="0" fillId="14" borderId="20" xfId="0" applyFill="1" applyBorder="1" applyAlignment="1">
      <alignment horizontal="center" vertical="center" wrapText="1"/>
    </xf>
    <xf numFmtId="0" fontId="0" fillId="14" borderId="22" xfId="0" applyFill="1" applyBorder="1" applyAlignment="1">
      <alignment horizontal="center" vertical="center" wrapText="1"/>
    </xf>
    <xf numFmtId="0" fontId="0" fillId="15" borderId="20" xfId="0" applyFill="1" applyBorder="1" applyAlignment="1">
      <alignment horizontal="center" vertical="center" wrapText="1"/>
    </xf>
    <xf numFmtId="0" fontId="0" fillId="15" borderId="22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15" borderId="4" xfId="0" applyFill="1" applyBorder="1" applyAlignment="1">
      <alignment horizontal="center" vertical="center" wrapText="1"/>
    </xf>
    <xf numFmtId="0" fontId="0" fillId="15" borderId="35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0" fillId="16" borderId="22" xfId="0" applyFill="1" applyBorder="1" applyAlignment="1">
      <alignment horizontal="center" vertical="center" wrapText="1"/>
    </xf>
    <xf numFmtId="0" fontId="12" fillId="5" borderId="30" xfId="1" applyNumberFormat="1" applyFont="1" applyBorder="1" applyAlignment="1" applyProtection="1">
      <alignment horizontal="center" vertical="center"/>
      <protection locked="0"/>
    </xf>
    <xf numFmtId="0" fontId="0" fillId="14" borderId="19" xfId="0" applyFill="1" applyBorder="1" applyAlignment="1">
      <alignment horizontal="center" vertical="center" wrapText="1"/>
    </xf>
    <xf numFmtId="0" fontId="0" fillId="15" borderId="19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0" fillId="15" borderId="21" xfId="0" applyFill="1" applyBorder="1" applyAlignment="1">
      <alignment horizontal="center" vertical="center" wrapText="1"/>
    </xf>
    <xf numFmtId="0" fontId="0" fillId="16" borderId="21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9" borderId="2" xfId="0" applyFill="1" applyBorder="1" applyAlignment="1">
      <alignment horizontal="center" vertical="center" wrapText="1"/>
    </xf>
    <xf numFmtId="0" fontId="0" fillId="14" borderId="4" xfId="0" applyFill="1" applyBorder="1" applyAlignment="1">
      <alignment horizontal="center" vertical="center" wrapText="1"/>
    </xf>
  </cellXfs>
  <cellStyles count="4">
    <cellStyle name="Accent2" xfId="3" builtinId="33"/>
    <cellStyle name="Check Cell" xfId="2" builtinId="23"/>
    <cellStyle name="Normal" xfId="0" builtinId="0"/>
    <cellStyle name="Output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25400</xdr:rowOff>
        </xdr:from>
        <xdr:to>
          <xdr:col>1</xdr:col>
          <xdr:colOff>127000</xdr:colOff>
          <xdr:row>0</xdr:row>
          <xdr:rowOff>317500</xdr:rowOff>
        </xdr:to>
        <xdr:sp macro="" textlink="">
          <xdr:nvSpPr>
            <xdr:cNvPr id="1026" name="btnInsertRow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355600</xdr:colOff>
          <xdr:row>0</xdr:row>
          <xdr:rowOff>0</xdr:rowOff>
        </xdr:from>
        <xdr:to>
          <xdr:col>2</xdr:col>
          <xdr:colOff>254000</xdr:colOff>
          <xdr:row>0</xdr:row>
          <xdr:rowOff>330200</xdr:rowOff>
        </xdr:to>
        <xdr:sp macro="" textlink="">
          <xdr:nvSpPr>
            <xdr:cNvPr id="1031" name="GenerateShee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V80"/>
  <sheetViews>
    <sheetView tabSelected="1" workbookViewId="0">
      <pane ySplit="5" topLeftCell="A66" activePane="bottomLeft" state="frozen"/>
      <selection activeCell="I1" sqref="I1"/>
      <selection pane="bottomLeft" activeCell="D72" sqref="D72"/>
    </sheetView>
  </sheetViews>
  <sheetFormatPr baseColWidth="10" defaultColWidth="9.1640625" defaultRowHeight="14" x14ac:dyDescent="0"/>
  <cols>
    <col min="1" max="1" width="15" style="10" bestFit="1" customWidth="1"/>
    <col min="2" max="2" width="20.33203125" style="10" bestFit="1" customWidth="1"/>
    <col min="3" max="3" width="11.5" style="10" customWidth="1"/>
    <col min="4" max="4" width="39.6640625" style="11" customWidth="1"/>
    <col min="5" max="5" width="14.83203125" style="10" customWidth="1"/>
    <col min="6" max="6" width="23.83203125" style="11" customWidth="1"/>
    <col min="7" max="7" width="32.1640625" style="11" customWidth="1"/>
    <col min="8" max="16" width="23.83203125" style="11" customWidth="1"/>
    <col min="17" max="17" width="14.83203125" style="11" customWidth="1"/>
    <col min="18" max="19" width="9.1640625" style="11"/>
    <col min="20" max="62" width="9.1640625" style="54"/>
    <col min="63" max="63" width="9.1640625" style="11"/>
    <col min="64" max="64" width="9.1640625" style="54"/>
    <col min="65" max="65" width="9.1640625" style="11"/>
    <col min="66" max="66" width="9.1640625" style="54"/>
    <col min="67" max="67" width="9.1640625" style="11"/>
    <col min="68" max="68" width="9.1640625" style="54"/>
    <col min="69" max="69" width="9.1640625" style="11"/>
    <col min="70" max="70" width="9.1640625" style="54"/>
    <col min="71" max="71" width="9.1640625" style="11"/>
    <col min="72" max="72" width="9.1640625" style="54"/>
    <col min="73" max="73" width="9.1640625" style="11"/>
    <col min="74" max="74" width="9.1640625" style="54"/>
    <col min="75" max="75" width="9.1640625" style="11"/>
    <col min="76" max="76" width="9.1640625" style="54"/>
    <col min="77" max="77" width="9.1640625" style="11"/>
    <col min="78" max="78" width="9.1640625" style="54"/>
    <col min="79" max="79" width="9.1640625" style="11"/>
    <col min="80" max="80" width="9.1640625" style="54"/>
    <col min="81" max="81" width="9.1640625" style="11"/>
    <col min="82" max="82" width="9.1640625" style="54"/>
    <col min="83" max="83" width="9.1640625" style="11"/>
    <col min="84" max="84" width="9.1640625" style="54"/>
    <col min="85" max="85" width="9.1640625" style="11"/>
    <col min="86" max="86" width="9.1640625" style="54"/>
    <col min="87" max="87" width="9.1640625" style="11"/>
    <col min="88" max="88" width="9.1640625" style="54"/>
    <col min="89" max="89" width="9.1640625" style="11"/>
    <col min="90" max="90" width="9.1640625" style="54"/>
    <col min="91" max="91" width="9.1640625" style="11"/>
    <col min="92" max="92" width="9.1640625" style="54"/>
    <col min="93" max="93" width="9.1640625" style="11"/>
    <col min="94" max="94" width="9.1640625" style="54"/>
    <col min="95" max="95" width="9.1640625" style="11"/>
    <col min="96" max="96" width="9.1640625" style="54"/>
    <col min="97" max="97" width="9.1640625" style="11"/>
    <col min="98" max="98" width="9.1640625" style="54"/>
    <col min="99" max="99" width="9.1640625" style="11"/>
    <col min="100" max="100" width="9.1640625" style="54"/>
    <col min="101" max="16384" width="9.1640625" style="9"/>
  </cols>
  <sheetData>
    <row r="1" spans="1:73" ht="31.5" customHeight="1">
      <c r="A1" s="117"/>
      <c r="B1" s="118"/>
      <c r="C1" s="118"/>
      <c r="D1" s="118"/>
      <c r="E1" s="118"/>
      <c r="F1" s="124" t="s">
        <v>336</v>
      </c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</row>
    <row r="2" spans="1:73" ht="27" customHeight="1">
      <c r="A2" s="37" t="s">
        <v>7</v>
      </c>
      <c r="B2" s="88" t="s">
        <v>231</v>
      </c>
      <c r="C2" s="89"/>
      <c r="D2" s="94" t="s">
        <v>334</v>
      </c>
      <c r="E2" s="89"/>
      <c r="F2" s="89"/>
      <c r="G2" s="89"/>
      <c r="H2" s="90"/>
      <c r="I2" s="90"/>
      <c r="J2" s="90"/>
      <c r="K2" s="90"/>
      <c r="L2" s="90"/>
      <c r="M2" s="90"/>
      <c r="N2" s="90"/>
      <c r="O2" s="90"/>
      <c r="P2" s="90"/>
      <c r="Q2" s="91"/>
      <c r="R2" s="101"/>
      <c r="S2" s="101"/>
      <c r="U2" s="95" t="s">
        <v>231</v>
      </c>
      <c r="V2" s="95" t="s">
        <v>232</v>
      </c>
      <c r="BH2" s="56"/>
      <c r="BI2" s="56"/>
      <c r="BJ2" s="56"/>
      <c r="BK2" s="55"/>
      <c r="BL2" s="56"/>
      <c r="BM2" s="55"/>
      <c r="BN2" s="56"/>
      <c r="BO2" s="55"/>
      <c r="BP2" s="56"/>
      <c r="BS2" s="55"/>
      <c r="BT2" s="56"/>
      <c r="BU2" s="55"/>
    </row>
    <row r="3" spans="1:73" ht="21" customHeight="1">
      <c r="A3" s="42" t="s">
        <v>3</v>
      </c>
      <c r="B3" s="63" t="s">
        <v>232</v>
      </c>
      <c r="C3" s="64"/>
      <c r="D3" s="64"/>
      <c r="E3" s="64"/>
      <c r="F3" s="64"/>
      <c r="G3" s="64"/>
      <c r="H3" s="60"/>
      <c r="I3" s="60"/>
      <c r="J3" s="60"/>
      <c r="K3" s="60"/>
      <c r="L3" s="60"/>
      <c r="M3" s="60"/>
      <c r="N3" s="60"/>
      <c r="O3" s="60"/>
      <c r="P3" s="60"/>
      <c r="Q3" s="92"/>
    </row>
    <row r="4" spans="1:73" ht="60" customHeight="1">
      <c r="A4" s="119" t="s">
        <v>10</v>
      </c>
      <c r="B4" s="120" t="s">
        <v>4</v>
      </c>
      <c r="C4" s="120" t="s">
        <v>5</v>
      </c>
      <c r="D4" s="121" t="s">
        <v>14</v>
      </c>
      <c r="E4" s="119" t="s">
        <v>22</v>
      </c>
      <c r="F4" s="119" t="s">
        <v>216</v>
      </c>
      <c r="G4" s="125" t="s">
        <v>223</v>
      </c>
      <c r="H4" s="121" t="s">
        <v>217</v>
      </c>
      <c r="I4" s="121" t="s">
        <v>218</v>
      </c>
      <c r="J4" s="121" t="s">
        <v>219</v>
      </c>
      <c r="K4" s="121"/>
      <c r="L4" s="121" t="s">
        <v>139</v>
      </c>
      <c r="M4" s="121" t="s">
        <v>136</v>
      </c>
      <c r="N4" s="121" t="s">
        <v>137</v>
      </c>
      <c r="O4" s="121"/>
      <c r="P4" s="121" t="s">
        <v>138</v>
      </c>
      <c r="Q4" s="122" t="s">
        <v>210</v>
      </c>
    </row>
    <row r="5" spans="1:73" ht="49.5" customHeight="1">
      <c r="A5" s="119"/>
      <c r="B5" s="120"/>
      <c r="C5" s="120"/>
      <c r="D5" s="121"/>
      <c r="E5" s="119"/>
      <c r="F5" s="119"/>
      <c r="G5" s="126"/>
      <c r="H5" s="121"/>
      <c r="I5" s="121"/>
      <c r="J5" s="106" t="s">
        <v>145</v>
      </c>
      <c r="K5" s="106" t="s">
        <v>146</v>
      </c>
      <c r="L5" s="121"/>
      <c r="M5" s="121"/>
      <c r="N5" s="106" t="s">
        <v>145</v>
      </c>
      <c r="O5" s="106" t="s">
        <v>146</v>
      </c>
      <c r="P5" s="121"/>
      <c r="Q5" s="123"/>
    </row>
    <row r="6" spans="1:73" ht="20">
      <c r="A6" s="65" t="s">
        <v>19</v>
      </c>
      <c r="B6" s="65"/>
      <c r="C6" s="65"/>
      <c r="D6" s="66">
        <v>4</v>
      </c>
      <c r="E6" s="65">
        <v>74</v>
      </c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</row>
    <row r="7" spans="1:73">
      <c r="A7" s="108">
        <v>1</v>
      </c>
      <c r="B7" s="108" t="s">
        <v>233</v>
      </c>
      <c r="C7" s="108" t="s">
        <v>234</v>
      </c>
      <c r="D7" s="108" t="s">
        <v>233</v>
      </c>
      <c r="E7" s="109" t="s">
        <v>57</v>
      </c>
      <c r="F7" s="109" t="s">
        <v>148</v>
      </c>
      <c r="G7" s="110" t="s">
        <v>225</v>
      </c>
      <c r="H7" s="111" t="s">
        <v>151</v>
      </c>
      <c r="I7" s="111">
        <v>299</v>
      </c>
      <c r="J7" s="112">
        <v>297</v>
      </c>
      <c r="K7" s="113"/>
      <c r="L7" s="111">
        <v>2</v>
      </c>
      <c r="M7" s="112">
        <v>1</v>
      </c>
      <c r="N7" s="113">
        <v>0</v>
      </c>
      <c r="O7" s="113">
        <v>0</v>
      </c>
      <c r="P7" s="112">
        <v>1</v>
      </c>
      <c r="Q7" s="114" t="s">
        <v>212</v>
      </c>
    </row>
    <row r="8" spans="1:73">
      <c r="A8" s="108">
        <v>2</v>
      </c>
      <c r="B8" s="108" t="s">
        <v>233</v>
      </c>
      <c r="C8" s="108" t="s">
        <v>234</v>
      </c>
      <c r="D8" s="108" t="s">
        <v>235</v>
      </c>
      <c r="E8" s="109" t="s">
        <v>115</v>
      </c>
      <c r="F8" s="109" t="s">
        <v>148</v>
      </c>
      <c r="G8" s="110" t="s">
        <v>225</v>
      </c>
      <c r="H8" s="111" t="s">
        <v>151</v>
      </c>
      <c r="I8" s="111">
        <v>27</v>
      </c>
      <c r="J8" s="112">
        <v>25</v>
      </c>
      <c r="K8" s="113"/>
      <c r="L8" s="111">
        <v>2</v>
      </c>
      <c r="M8" s="112">
        <v>1</v>
      </c>
      <c r="N8" s="113">
        <v>0</v>
      </c>
      <c r="O8" s="113">
        <v>0</v>
      </c>
      <c r="P8" s="112">
        <v>1</v>
      </c>
      <c r="Q8" s="114" t="s">
        <v>212</v>
      </c>
    </row>
    <row r="9" spans="1:73">
      <c r="A9" s="96">
        <v>3</v>
      </c>
      <c r="B9" s="96" t="s">
        <v>236</v>
      </c>
      <c r="C9" s="96" t="s">
        <v>237</v>
      </c>
      <c r="D9" s="96" t="s">
        <v>238</v>
      </c>
      <c r="E9" s="99" t="s">
        <v>115</v>
      </c>
      <c r="F9" s="99" t="s">
        <v>148</v>
      </c>
      <c r="G9" s="100" t="s">
        <v>225</v>
      </c>
      <c r="H9" s="102" t="s">
        <v>151</v>
      </c>
      <c r="I9" s="102">
        <v>0</v>
      </c>
      <c r="J9" s="103">
        <v>0</v>
      </c>
      <c r="K9" s="104"/>
      <c r="L9" s="102">
        <v>0</v>
      </c>
      <c r="M9" s="103">
        <v>0</v>
      </c>
      <c r="N9" s="104">
        <v>0</v>
      </c>
      <c r="O9" s="104">
        <v>0</v>
      </c>
      <c r="P9" s="103">
        <v>0</v>
      </c>
      <c r="Q9" s="98"/>
    </row>
    <row r="10" spans="1:73">
      <c r="A10" s="96">
        <v>4</v>
      </c>
      <c r="B10" s="96" t="s">
        <v>236</v>
      </c>
      <c r="C10" s="96" t="s">
        <v>237</v>
      </c>
      <c r="D10" s="96" t="s">
        <v>239</v>
      </c>
      <c r="E10" s="99" t="s">
        <v>57</v>
      </c>
      <c r="F10" s="99" t="s">
        <v>148</v>
      </c>
      <c r="G10" s="100" t="s">
        <v>225</v>
      </c>
      <c r="H10" s="102" t="s">
        <v>151</v>
      </c>
      <c r="I10" s="102">
        <v>258</v>
      </c>
      <c r="J10" s="103">
        <v>255</v>
      </c>
      <c r="K10" s="104"/>
      <c r="L10" s="102">
        <v>3</v>
      </c>
      <c r="M10" s="103">
        <v>2</v>
      </c>
      <c r="N10" s="104">
        <v>0</v>
      </c>
      <c r="O10" s="104">
        <v>0</v>
      </c>
      <c r="P10" s="103">
        <v>2</v>
      </c>
      <c r="Q10" s="98" t="s">
        <v>212</v>
      </c>
    </row>
    <row r="11" spans="1:73">
      <c r="A11" s="96">
        <v>5</v>
      </c>
      <c r="B11" s="96" t="s">
        <v>236</v>
      </c>
      <c r="C11" s="96" t="s">
        <v>237</v>
      </c>
      <c r="D11" s="96" t="s">
        <v>240</v>
      </c>
      <c r="E11" s="99" t="s">
        <v>115</v>
      </c>
      <c r="F11" s="99" t="s">
        <v>148</v>
      </c>
      <c r="G11" s="100" t="s">
        <v>225</v>
      </c>
      <c r="H11" s="102" t="s">
        <v>151</v>
      </c>
      <c r="I11" s="102">
        <v>111</v>
      </c>
      <c r="J11" s="103">
        <v>108</v>
      </c>
      <c r="K11" s="104"/>
      <c r="L11" s="102">
        <v>3</v>
      </c>
      <c r="M11" s="103">
        <v>2</v>
      </c>
      <c r="N11" s="104">
        <v>0</v>
      </c>
      <c r="O11" s="104">
        <v>0</v>
      </c>
      <c r="P11" s="103">
        <v>2</v>
      </c>
      <c r="Q11" s="98" t="s">
        <v>212</v>
      </c>
    </row>
    <row r="12" spans="1:73">
      <c r="A12" s="108">
        <v>6</v>
      </c>
      <c r="B12" s="108" t="s">
        <v>241</v>
      </c>
      <c r="C12" s="108" t="s">
        <v>242</v>
      </c>
      <c r="D12" s="108" t="s">
        <v>243</v>
      </c>
      <c r="E12" s="109" t="s">
        <v>57</v>
      </c>
      <c r="F12" s="109" t="s">
        <v>148</v>
      </c>
      <c r="G12" s="110" t="s">
        <v>225</v>
      </c>
      <c r="H12" s="111" t="s">
        <v>151</v>
      </c>
      <c r="I12" s="111">
        <v>243</v>
      </c>
      <c r="J12" s="112">
        <v>230</v>
      </c>
      <c r="K12" s="113"/>
      <c r="L12" s="111">
        <v>13</v>
      </c>
      <c r="M12" s="112">
        <v>13</v>
      </c>
      <c r="N12" s="113">
        <v>0</v>
      </c>
      <c r="O12" s="113">
        <v>0</v>
      </c>
      <c r="P12" s="112">
        <v>13</v>
      </c>
      <c r="Q12" s="114" t="s">
        <v>212</v>
      </c>
    </row>
    <row r="13" spans="1:73">
      <c r="A13" s="108">
        <v>7</v>
      </c>
      <c r="B13" s="108" t="s">
        <v>241</v>
      </c>
      <c r="C13" s="108" t="s">
        <v>242</v>
      </c>
      <c r="D13" s="108" t="s">
        <v>244</v>
      </c>
      <c r="E13" s="109" t="s">
        <v>115</v>
      </c>
      <c r="F13" s="109" t="s">
        <v>148</v>
      </c>
      <c r="G13" s="110" t="s">
        <v>225</v>
      </c>
      <c r="H13" s="111" t="s">
        <v>151</v>
      </c>
      <c r="I13" s="111">
        <v>413</v>
      </c>
      <c r="J13" s="112">
        <v>408</v>
      </c>
      <c r="K13" s="113"/>
      <c r="L13" s="111">
        <v>5</v>
      </c>
      <c r="M13" s="112">
        <v>5</v>
      </c>
      <c r="N13" s="113">
        <v>0</v>
      </c>
      <c r="O13" s="113">
        <v>0</v>
      </c>
      <c r="P13" s="112">
        <v>5</v>
      </c>
      <c r="Q13" s="114" t="s">
        <v>212</v>
      </c>
    </row>
    <row r="14" spans="1:73">
      <c r="A14" s="108">
        <v>8</v>
      </c>
      <c r="B14" s="108" t="s">
        <v>241</v>
      </c>
      <c r="C14" s="108" t="s">
        <v>242</v>
      </c>
      <c r="D14" s="108" t="s">
        <v>245</v>
      </c>
      <c r="E14" s="109" t="s">
        <v>115</v>
      </c>
      <c r="F14" s="109" t="s">
        <v>148</v>
      </c>
      <c r="G14" s="110" t="s">
        <v>225</v>
      </c>
      <c r="H14" s="111" t="s">
        <v>151</v>
      </c>
      <c r="I14" s="111">
        <v>124</v>
      </c>
      <c r="J14" s="112">
        <v>119</v>
      </c>
      <c r="K14" s="113"/>
      <c r="L14" s="111">
        <v>5</v>
      </c>
      <c r="M14" s="112">
        <v>5</v>
      </c>
      <c r="N14" s="113">
        <v>0</v>
      </c>
      <c r="O14" s="113">
        <v>0</v>
      </c>
      <c r="P14" s="112">
        <v>5</v>
      </c>
      <c r="Q14" s="114" t="s">
        <v>212</v>
      </c>
    </row>
    <row r="15" spans="1:73">
      <c r="A15" s="108">
        <v>9</v>
      </c>
      <c r="B15" s="108" t="s">
        <v>241</v>
      </c>
      <c r="C15" s="108" t="s">
        <v>242</v>
      </c>
      <c r="D15" s="108" t="s">
        <v>246</v>
      </c>
      <c r="E15" s="109" t="s">
        <v>115</v>
      </c>
      <c r="F15" s="109" t="s">
        <v>148</v>
      </c>
      <c r="G15" s="110" t="s">
        <v>225</v>
      </c>
      <c r="H15" s="111" t="s">
        <v>151</v>
      </c>
      <c r="I15" s="111">
        <v>84</v>
      </c>
      <c r="J15" s="112">
        <v>83</v>
      </c>
      <c r="K15" s="113"/>
      <c r="L15" s="111">
        <v>1</v>
      </c>
      <c r="M15" s="112">
        <v>0</v>
      </c>
      <c r="N15" s="113">
        <v>0</v>
      </c>
      <c r="O15" s="113">
        <v>0</v>
      </c>
      <c r="P15" s="112">
        <v>0</v>
      </c>
      <c r="Q15" s="114" t="s">
        <v>212</v>
      </c>
    </row>
    <row r="16" spans="1:73">
      <c r="A16" s="108">
        <v>10</v>
      </c>
      <c r="B16" s="108" t="s">
        <v>241</v>
      </c>
      <c r="C16" s="108" t="s">
        <v>242</v>
      </c>
      <c r="D16" s="108" t="s">
        <v>247</v>
      </c>
      <c r="E16" s="109" t="s">
        <v>115</v>
      </c>
      <c r="F16" s="109" t="s">
        <v>148</v>
      </c>
      <c r="G16" s="110" t="s">
        <v>225</v>
      </c>
      <c r="H16" s="111" t="s">
        <v>151</v>
      </c>
      <c r="I16" s="111">
        <v>108</v>
      </c>
      <c r="J16" s="112">
        <v>103</v>
      </c>
      <c r="K16" s="113"/>
      <c r="L16" s="111">
        <v>5</v>
      </c>
      <c r="M16" s="112">
        <v>5</v>
      </c>
      <c r="N16" s="113">
        <v>0</v>
      </c>
      <c r="O16" s="113">
        <v>0</v>
      </c>
      <c r="P16" s="112">
        <v>5</v>
      </c>
      <c r="Q16" s="114" t="s">
        <v>212</v>
      </c>
    </row>
    <row r="17" spans="1:17">
      <c r="A17" s="108">
        <v>11</v>
      </c>
      <c r="B17" s="108" t="s">
        <v>241</v>
      </c>
      <c r="C17" s="108" t="s">
        <v>242</v>
      </c>
      <c r="D17" s="108" t="s">
        <v>248</v>
      </c>
      <c r="E17" s="109" t="s">
        <v>115</v>
      </c>
      <c r="F17" s="109" t="s">
        <v>148</v>
      </c>
      <c r="G17" s="110" t="s">
        <v>225</v>
      </c>
      <c r="H17" s="111" t="s">
        <v>151</v>
      </c>
      <c r="I17" s="111">
        <v>115</v>
      </c>
      <c r="J17" s="112">
        <v>111</v>
      </c>
      <c r="K17" s="113"/>
      <c r="L17" s="111">
        <v>4</v>
      </c>
      <c r="M17" s="112">
        <v>4</v>
      </c>
      <c r="N17" s="113">
        <v>0</v>
      </c>
      <c r="O17" s="113">
        <v>0</v>
      </c>
      <c r="P17" s="112">
        <v>4</v>
      </c>
      <c r="Q17" s="114" t="s">
        <v>212</v>
      </c>
    </row>
    <row r="18" spans="1:17">
      <c r="A18" s="108">
        <v>12</v>
      </c>
      <c r="B18" s="108" t="s">
        <v>241</v>
      </c>
      <c r="C18" s="108" t="s">
        <v>242</v>
      </c>
      <c r="D18" s="108" t="s">
        <v>249</v>
      </c>
      <c r="E18" s="109" t="s">
        <v>115</v>
      </c>
      <c r="F18" s="109" t="s">
        <v>148</v>
      </c>
      <c r="G18" s="110" t="s">
        <v>225</v>
      </c>
      <c r="H18" s="111" t="s">
        <v>151</v>
      </c>
      <c r="I18" s="111">
        <v>49</v>
      </c>
      <c r="J18" s="112">
        <v>44</v>
      </c>
      <c r="K18" s="113"/>
      <c r="L18" s="111">
        <v>5</v>
      </c>
      <c r="M18" s="112">
        <v>5</v>
      </c>
      <c r="N18" s="113">
        <v>0</v>
      </c>
      <c r="O18" s="113">
        <v>0</v>
      </c>
      <c r="P18" s="112">
        <v>5</v>
      </c>
      <c r="Q18" s="114" t="s">
        <v>212</v>
      </c>
    </row>
    <row r="19" spans="1:17">
      <c r="A19" s="96">
        <v>13</v>
      </c>
      <c r="B19" s="96" t="s">
        <v>250</v>
      </c>
      <c r="C19" s="96" t="s">
        <v>251</v>
      </c>
      <c r="D19" s="96" t="s">
        <v>252</v>
      </c>
      <c r="E19" s="99" t="s">
        <v>115</v>
      </c>
      <c r="F19" s="99" t="s">
        <v>148</v>
      </c>
      <c r="G19" s="100" t="s">
        <v>225</v>
      </c>
      <c r="H19" s="102" t="s">
        <v>151</v>
      </c>
      <c r="I19" s="102">
        <v>115</v>
      </c>
      <c r="J19" s="103">
        <v>114</v>
      </c>
      <c r="K19" s="104"/>
      <c r="L19" s="102">
        <v>1</v>
      </c>
      <c r="M19" s="103">
        <v>1</v>
      </c>
      <c r="N19" s="104">
        <v>0</v>
      </c>
      <c r="O19" s="104">
        <v>0</v>
      </c>
      <c r="P19" s="103">
        <v>1</v>
      </c>
      <c r="Q19" s="98" t="s">
        <v>212</v>
      </c>
    </row>
    <row r="20" spans="1:17">
      <c r="A20" s="96">
        <v>14</v>
      </c>
      <c r="B20" s="96" t="s">
        <v>250</v>
      </c>
      <c r="C20" s="96" t="s">
        <v>251</v>
      </c>
      <c r="D20" s="96" t="s">
        <v>253</v>
      </c>
      <c r="E20" s="99" t="s">
        <v>115</v>
      </c>
      <c r="F20" s="99" t="s">
        <v>148</v>
      </c>
      <c r="G20" s="100" t="s">
        <v>225</v>
      </c>
      <c r="H20" s="102" t="s">
        <v>151</v>
      </c>
      <c r="I20" s="102">
        <v>0</v>
      </c>
      <c r="J20" s="103">
        <v>0</v>
      </c>
      <c r="K20" s="104"/>
      <c r="L20" s="102">
        <v>0</v>
      </c>
      <c r="M20" s="103">
        <v>0</v>
      </c>
      <c r="N20" s="104">
        <v>0</v>
      </c>
      <c r="O20" s="104">
        <v>0</v>
      </c>
      <c r="P20" s="103">
        <v>0</v>
      </c>
      <c r="Q20" s="98"/>
    </row>
    <row r="21" spans="1:17">
      <c r="A21" s="96">
        <v>15</v>
      </c>
      <c r="B21" s="96" t="s">
        <v>250</v>
      </c>
      <c r="C21" s="96" t="s">
        <v>251</v>
      </c>
      <c r="D21" s="96" t="s">
        <v>254</v>
      </c>
      <c r="E21" s="99" t="s">
        <v>115</v>
      </c>
      <c r="F21" s="99" t="s">
        <v>148</v>
      </c>
      <c r="G21" s="100" t="s">
        <v>225</v>
      </c>
      <c r="H21" s="102" t="s">
        <v>151</v>
      </c>
      <c r="I21" s="102">
        <v>104</v>
      </c>
      <c r="J21" s="103">
        <v>102</v>
      </c>
      <c r="K21" s="104"/>
      <c r="L21" s="102">
        <v>2</v>
      </c>
      <c r="M21" s="103">
        <v>2</v>
      </c>
      <c r="N21" s="104">
        <v>0</v>
      </c>
      <c r="O21" s="104">
        <v>0</v>
      </c>
      <c r="P21" s="103">
        <v>2</v>
      </c>
      <c r="Q21" s="98" t="s">
        <v>212</v>
      </c>
    </row>
    <row r="22" spans="1:17">
      <c r="A22" s="96">
        <v>16</v>
      </c>
      <c r="B22" s="96" t="s">
        <v>250</v>
      </c>
      <c r="C22" s="96" t="s">
        <v>251</v>
      </c>
      <c r="D22" s="96" t="s">
        <v>255</v>
      </c>
      <c r="E22" s="99" t="s">
        <v>115</v>
      </c>
      <c r="F22" s="99" t="s">
        <v>148</v>
      </c>
      <c r="G22" s="100" t="s">
        <v>225</v>
      </c>
      <c r="H22" s="102" t="s">
        <v>151</v>
      </c>
      <c r="I22" s="102">
        <v>48</v>
      </c>
      <c r="J22" s="103">
        <v>47</v>
      </c>
      <c r="K22" s="104"/>
      <c r="L22" s="102">
        <v>1</v>
      </c>
      <c r="M22" s="103">
        <v>0</v>
      </c>
      <c r="N22" s="104">
        <v>0</v>
      </c>
      <c r="O22" s="104">
        <v>0</v>
      </c>
      <c r="P22" s="103">
        <v>0</v>
      </c>
      <c r="Q22" s="98" t="s">
        <v>212</v>
      </c>
    </row>
    <row r="23" spans="1:17">
      <c r="A23" s="96">
        <v>17</v>
      </c>
      <c r="B23" s="96" t="s">
        <v>250</v>
      </c>
      <c r="C23" s="96" t="s">
        <v>251</v>
      </c>
      <c r="D23" s="96" t="s">
        <v>256</v>
      </c>
      <c r="E23" s="99" t="s">
        <v>57</v>
      </c>
      <c r="F23" s="99" t="s">
        <v>148</v>
      </c>
      <c r="G23" s="100" t="s">
        <v>225</v>
      </c>
      <c r="H23" s="102" t="s">
        <v>151</v>
      </c>
      <c r="I23" s="102">
        <v>0</v>
      </c>
      <c r="J23" s="103">
        <v>0</v>
      </c>
      <c r="K23" s="104"/>
      <c r="L23" s="102">
        <v>0</v>
      </c>
      <c r="M23" s="103">
        <v>0</v>
      </c>
      <c r="N23" s="104">
        <v>0</v>
      </c>
      <c r="O23" s="104">
        <v>0</v>
      </c>
      <c r="P23" s="103">
        <v>0</v>
      </c>
      <c r="Q23" s="98"/>
    </row>
    <row r="24" spans="1:17">
      <c r="A24" s="96">
        <v>18</v>
      </c>
      <c r="B24" s="96" t="s">
        <v>250</v>
      </c>
      <c r="C24" s="96" t="s">
        <v>251</v>
      </c>
      <c r="D24" s="96" t="s">
        <v>257</v>
      </c>
      <c r="E24" s="99" t="s">
        <v>115</v>
      </c>
      <c r="F24" s="99" t="s">
        <v>148</v>
      </c>
      <c r="G24" s="100" t="s">
        <v>225</v>
      </c>
      <c r="H24" s="102" t="s">
        <v>151</v>
      </c>
      <c r="I24" s="102">
        <v>99</v>
      </c>
      <c r="J24" s="103">
        <v>97</v>
      </c>
      <c r="K24" s="104"/>
      <c r="L24" s="102">
        <v>2</v>
      </c>
      <c r="M24" s="103">
        <v>2</v>
      </c>
      <c r="N24" s="104">
        <v>0</v>
      </c>
      <c r="O24" s="104">
        <v>0</v>
      </c>
      <c r="P24" s="103">
        <v>2</v>
      </c>
      <c r="Q24" s="98" t="s">
        <v>212</v>
      </c>
    </row>
    <row r="25" spans="1:17">
      <c r="A25" s="96">
        <v>19</v>
      </c>
      <c r="B25" s="96" t="s">
        <v>250</v>
      </c>
      <c r="C25" s="96" t="s">
        <v>251</v>
      </c>
      <c r="D25" s="96" t="s">
        <v>258</v>
      </c>
      <c r="E25" s="99" t="s">
        <v>115</v>
      </c>
      <c r="F25" s="99" t="s">
        <v>148</v>
      </c>
      <c r="G25" s="100" t="s">
        <v>225</v>
      </c>
      <c r="H25" s="102" t="s">
        <v>151</v>
      </c>
      <c r="I25" s="102">
        <v>34</v>
      </c>
      <c r="J25" s="103">
        <v>33</v>
      </c>
      <c r="K25" s="104"/>
      <c r="L25" s="102">
        <v>1</v>
      </c>
      <c r="M25" s="103">
        <v>0</v>
      </c>
      <c r="N25" s="104">
        <v>0</v>
      </c>
      <c r="O25" s="104">
        <v>0</v>
      </c>
      <c r="P25" s="103">
        <v>0</v>
      </c>
      <c r="Q25" s="98" t="s">
        <v>212</v>
      </c>
    </row>
    <row r="26" spans="1:17">
      <c r="A26" s="96">
        <v>20</v>
      </c>
      <c r="B26" s="96" t="s">
        <v>250</v>
      </c>
      <c r="C26" s="96" t="s">
        <v>251</v>
      </c>
      <c r="D26" s="96" t="s">
        <v>259</v>
      </c>
      <c r="E26" s="99" t="s">
        <v>115</v>
      </c>
      <c r="F26" s="99" t="s">
        <v>148</v>
      </c>
      <c r="G26" s="100" t="s">
        <v>225</v>
      </c>
      <c r="H26" s="102" t="s">
        <v>151</v>
      </c>
      <c r="I26" s="102">
        <v>0</v>
      </c>
      <c r="J26" s="103">
        <v>0</v>
      </c>
      <c r="K26" s="104"/>
      <c r="L26" s="102">
        <v>0</v>
      </c>
      <c r="M26" s="103">
        <v>0</v>
      </c>
      <c r="N26" s="104">
        <v>0</v>
      </c>
      <c r="O26" s="104">
        <v>0</v>
      </c>
      <c r="P26" s="103">
        <v>0</v>
      </c>
      <c r="Q26" s="98"/>
    </row>
    <row r="27" spans="1:17">
      <c r="A27" s="108">
        <v>21</v>
      </c>
      <c r="B27" s="108" t="s">
        <v>260</v>
      </c>
      <c r="C27" s="108" t="s">
        <v>261</v>
      </c>
      <c r="D27" s="108" t="s">
        <v>262</v>
      </c>
      <c r="E27" s="109" t="s">
        <v>57</v>
      </c>
      <c r="F27" s="109" t="s">
        <v>148</v>
      </c>
      <c r="G27" s="110" t="s">
        <v>225</v>
      </c>
      <c r="H27" s="111" t="s">
        <v>151</v>
      </c>
      <c r="I27" s="111">
        <v>0</v>
      </c>
      <c r="J27" s="112">
        <v>0</v>
      </c>
      <c r="K27" s="113"/>
      <c r="L27" s="111">
        <v>0</v>
      </c>
      <c r="M27" s="112">
        <v>0</v>
      </c>
      <c r="N27" s="113">
        <v>0</v>
      </c>
      <c r="O27" s="113">
        <v>0</v>
      </c>
      <c r="P27" s="112">
        <v>0</v>
      </c>
      <c r="Q27" s="114"/>
    </row>
    <row r="28" spans="1:17">
      <c r="A28" s="108">
        <v>22</v>
      </c>
      <c r="B28" s="108" t="s">
        <v>260</v>
      </c>
      <c r="C28" s="108" t="s">
        <v>261</v>
      </c>
      <c r="D28" s="108" t="s">
        <v>263</v>
      </c>
      <c r="E28" s="109" t="s">
        <v>115</v>
      </c>
      <c r="F28" s="109" t="s">
        <v>148</v>
      </c>
      <c r="G28" s="110" t="s">
        <v>225</v>
      </c>
      <c r="H28" s="111" t="s">
        <v>151</v>
      </c>
      <c r="I28" s="111">
        <v>0</v>
      </c>
      <c r="J28" s="112">
        <v>0</v>
      </c>
      <c r="K28" s="113"/>
      <c r="L28" s="111">
        <v>0</v>
      </c>
      <c r="M28" s="112">
        <v>0</v>
      </c>
      <c r="N28" s="113">
        <v>0</v>
      </c>
      <c r="O28" s="113">
        <v>0</v>
      </c>
      <c r="P28" s="112">
        <v>0</v>
      </c>
      <c r="Q28" s="114"/>
    </row>
    <row r="29" spans="1:17">
      <c r="A29" s="108">
        <v>23</v>
      </c>
      <c r="B29" s="108" t="s">
        <v>260</v>
      </c>
      <c r="C29" s="108" t="s">
        <v>261</v>
      </c>
      <c r="D29" s="108" t="s">
        <v>264</v>
      </c>
      <c r="E29" s="109" t="s">
        <v>115</v>
      </c>
      <c r="F29" s="109" t="s">
        <v>148</v>
      </c>
      <c r="G29" s="110" t="s">
        <v>225</v>
      </c>
      <c r="H29" s="111" t="s">
        <v>151</v>
      </c>
      <c r="I29" s="111">
        <v>0</v>
      </c>
      <c r="J29" s="112">
        <v>0</v>
      </c>
      <c r="K29" s="113"/>
      <c r="L29" s="111">
        <v>0</v>
      </c>
      <c r="M29" s="112">
        <v>0</v>
      </c>
      <c r="N29" s="113">
        <v>0</v>
      </c>
      <c r="O29" s="113">
        <v>0</v>
      </c>
      <c r="P29" s="112">
        <v>0</v>
      </c>
      <c r="Q29" s="114"/>
    </row>
    <row r="30" spans="1:17">
      <c r="A30" s="108">
        <v>24</v>
      </c>
      <c r="B30" s="108" t="s">
        <v>260</v>
      </c>
      <c r="C30" s="108" t="s">
        <v>261</v>
      </c>
      <c r="D30" s="108" t="s">
        <v>260</v>
      </c>
      <c r="E30" s="109" t="s">
        <v>115</v>
      </c>
      <c r="F30" s="109" t="s">
        <v>148</v>
      </c>
      <c r="G30" s="110" t="s">
        <v>225</v>
      </c>
      <c r="H30" s="111" t="s">
        <v>151</v>
      </c>
      <c r="I30" s="111">
        <v>0</v>
      </c>
      <c r="J30" s="112">
        <v>0</v>
      </c>
      <c r="K30" s="113"/>
      <c r="L30" s="111">
        <v>0</v>
      </c>
      <c r="M30" s="112">
        <v>0</v>
      </c>
      <c r="N30" s="113">
        <v>0</v>
      </c>
      <c r="O30" s="113">
        <v>0</v>
      </c>
      <c r="P30" s="112">
        <v>0</v>
      </c>
      <c r="Q30" s="114"/>
    </row>
    <row r="31" spans="1:17">
      <c r="A31" s="108">
        <v>25</v>
      </c>
      <c r="B31" s="108" t="s">
        <v>260</v>
      </c>
      <c r="C31" s="108" t="s">
        <v>261</v>
      </c>
      <c r="D31" s="108" t="s">
        <v>265</v>
      </c>
      <c r="E31" s="109" t="s">
        <v>115</v>
      </c>
      <c r="F31" s="109" t="s">
        <v>148</v>
      </c>
      <c r="G31" s="110" t="s">
        <v>225</v>
      </c>
      <c r="H31" s="111" t="s">
        <v>151</v>
      </c>
      <c r="I31" s="111">
        <v>0</v>
      </c>
      <c r="J31" s="112">
        <v>0</v>
      </c>
      <c r="K31" s="113"/>
      <c r="L31" s="111">
        <v>0</v>
      </c>
      <c r="M31" s="112">
        <v>0</v>
      </c>
      <c r="N31" s="113">
        <v>0</v>
      </c>
      <c r="O31" s="113">
        <v>0</v>
      </c>
      <c r="P31" s="112">
        <v>0</v>
      </c>
      <c r="Q31" s="114"/>
    </row>
    <row r="32" spans="1:17">
      <c r="A32" s="96">
        <v>26</v>
      </c>
      <c r="B32" s="96" t="s">
        <v>266</v>
      </c>
      <c r="C32" s="96" t="s">
        <v>267</v>
      </c>
      <c r="D32" s="96" t="s">
        <v>266</v>
      </c>
      <c r="E32" s="99" t="s">
        <v>57</v>
      </c>
      <c r="F32" s="99" t="s">
        <v>148</v>
      </c>
      <c r="G32" s="100" t="s">
        <v>225</v>
      </c>
      <c r="H32" s="102" t="s">
        <v>151</v>
      </c>
      <c r="I32" s="102">
        <v>99</v>
      </c>
      <c r="J32" s="103">
        <v>98</v>
      </c>
      <c r="K32" s="104"/>
      <c r="L32" s="102">
        <v>1</v>
      </c>
      <c r="M32" s="103">
        <v>0</v>
      </c>
      <c r="N32" s="104">
        <v>0</v>
      </c>
      <c r="O32" s="104">
        <v>0</v>
      </c>
      <c r="P32" s="103">
        <v>0</v>
      </c>
      <c r="Q32" s="98" t="s">
        <v>212</v>
      </c>
    </row>
    <row r="33" spans="1:17">
      <c r="A33" s="96">
        <v>27</v>
      </c>
      <c r="B33" s="96" t="s">
        <v>266</v>
      </c>
      <c r="C33" s="96" t="s">
        <v>267</v>
      </c>
      <c r="D33" s="96" t="s">
        <v>268</v>
      </c>
      <c r="E33" s="99" t="s">
        <v>115</v>
      </c>
      <c r="F33" s="99" t="s">
        <v>148</v>
      </c>
      <c r="G33" s="100" t="s">
        <v>225</v>
      </c>
      <c r="H33" s="102" t="s">
        <v>151</v>
      </c>
      <c r="I33" s="102">
        <v>133</v>
      </c>
      <c r="J33" s="103">
        <v>132</v>
      </c>
      <c r="K33" s="104"/>
      <c r="L33" s="102">
        <v>1</v>
      </c>
      <c r="M33" s="103">
        <v>0</v>
      </c>
      <c r="N33" s="104">
        <v>0</v>
      </c>
      <c r="O33" s="104">
        <v>0</v>
      </c>
      <c r="P33" s="103">
        <v>0</v>
      </c>
      <c r="Q33" s="98" t="s">
        <v>212</v>
      </c>
    </row>
    <row r="34" spans="1:17">
      <c r="A34" s="108">
        <v>28</v>
      </c>
      <c r="B34" s="108" t="s">
        <v>269</v>
      </c>
      <c r="C34" s="108" t="s">
        <v>270</v>
      </c>
      <c r="D34" s="108" t="s">
        <v>269</v>
      </c>
      <c r="E34" s="109" t="s">
        <v>57</v>
      </c>
      <c r="F34" s="109" t="s">
        <v>148</v>
      </c>
      <c r="G34" s="110" t="s">
        <v>225</v>
      </c>
      <c r="H34" s="111" t="s">
        <v>151</v>
      </c>
      <c r="I34" s="111">
        <v>32</v>
      </c>
      <c r="J34" s="112">
        <v>30</v>
      </c>
      <c r="K34" s="113"/>
      <c r="L34" s="111">
        <v>2</v>
      </c>
      <c r="M34" s="112">
        <v>2</v>
      </c>
      <c r="N34" s="113">
        <v>0</v>
      </c>
      <c r="O34" s="113">
        <v>0</v>
      </c>
      <c r="P34" s="112">
        <v>2</v>
      </c>
      <c r="Q34" s="114" t="s">
        <v>212</v>
      </c>
    </row>
    <row r="35" spans="1:17">
      <c r="A35" s="108">
        <v>29</v>
      </c>
      <c r="B35" s="108" t="s">
        <v>269</v>
      </c>
      <c r="C35" s="108" t="s">
        <v>270</v>
      </c>
      <c r="D35" s="108" t="s">
        <v>271</v>
      </c>
      <c r="E35" s="109" t="s">
        <v>115</v>
      </c>
      <c r="F35" s="109" t="s">
        <v>148</v>
      </c>
      <c r="G35" s="110" t="s">
        <v>225</v>
      </c>
      <c r="H35" s="111" t="s">
        <v>151</v>
      </c>
      <c r="I35" s="111">
        <v>70</v>
      </c>
      <c r="J35" s="112">
        <v>69</v>
      </c>
      <c r="K35" s="113"/>
      <c r="L35" s="111">
        <v>1</v>
      </c>
      <c r="M35" s="112">
        <v>0</v>
      </c>
      <c r="N35" s="113">
        <v>0</v>
      </c>
      <c r="O35" s="113">
        <v>0</v>
      </c>
      <c r="P35" s="112">
        <v>0</v>
      </c>
      <c r="Q35" s="114" t="s">
        <v>212</v>
      </c>
    </row>
    <row r="36" spans="1:17">
      <c r="A36" s="108">
        <v>30</v>
      </c>
      <c r="B36" s="108" t="s">
        <v>269</v>
      </c>
      <c r="C36" s="108" t="s">
        <v>270</v>
      </c>
      <c r="D36" s="108" t="s">
        <v>272</v>
      </c>
      <c r="E36" s="109" t="s">
        <v>115</v>
      </c>
      <c r="F36" s="109" t="s">
        <v>148</v>
      </c>
      <c r="G36" s="110" t="s">
        <v>225</v>
      </c>
      <c r="H36" s="111" t="s">
        <v>151</v>
      </c>
      <c r="I36" s="111">
        <v>0</v>
      </c>
      <c r="J36" s="112">
        <v>0</v>
      </c>
      <c r="K36" s="113"/>
      <c r="L36" s="111">
        <v>0</v>
      </c>
      <c r="M36" s="112">
        <v>0</v>
      </c>
      <c r="N36" s="113">
        <v>0</v>
      </c>
      <c r="O36" s="113">
        <v>0</v>
      </c>
      <c r="P36" s="112">
        <v>0</v>
      </c>
      <c r="Q36" s="114"/>
    </row>
    <row r="37" spans="1:17">
      <c r="A37" s="96">
        <v>31</v>
      </c>
      <c r="B37" s="96" t="s">
        <v>273</v>
      </c>
      <c r="C37" s="96" t="s">
        <v>274</v>
      </c>
      <c r="D37" s="96" t="s">
        <v>275</v>
      </c>
      <c r="E37" s="99" t="s">
        <v>115</v>
      </c>
      <c r="F37" s="99" t="s">
        <v>148</v>
      </c>
      <c r="G37" s="100" t="s">
        <v>225</v>
      </c>
      <c r="H37" s="102" t="s">
        <v>151</v>
      </c>
      <c r="I37" s="102">
        <v>77</v>
      </c>
      <c r="J37" s="103">
        <v>76</v>
      </c>
      <c r="K37" s="104"/>
      <c r="L37" s="102">
        <v>1</v>
      </c>
      <c r="M37" s="103">
        <v>0</v>
      </c>
      <c r="N37" s="104">
        <v>0</v>
      </c>
      <c r="O37" s="104">
        <v>0</v>
      </c>
      <c r="P37" s="103">
        <v>0</v>
      </c>
      <c r="Q37" s="98" t="s">
        <v>212</v>
      </c>
    </row>
    <row r="38" spans="1:17">
      <c r="A38" s="96">
        <v>32</v>
      </c>
      <c r="B38" s="96" t="s">
        <v>273</v>
      </c>
      <c r="C38" s="96" t="s">
        <v>274</v>
      </c>
      <c r="D38" s="96" t="s">
        <v>273</v>
      </c>
      <c r="E38" s="99" t="s">
        <v>57</v>
      </c>
      <c r="F38" s="99" t="s">
        <v>148</v>
      </c>
      <c r="G38" s="100" t="s">
        <v>225</v>
      </c>
      <c r="H38" s="102" t="s">
        <v>151</v>
      </c>
      <c r="I38" s="102">
        <v>121</v>
      </c>
      <c r="J38" s="103">
        <v>116</v>
      </c>
      <c r="K38" s="104"/>
      <c r="L38" s="102">
        <v>5</v>
      </c>
      <c r="M38" s="107">
        <v>5</v>
      </c>
      <c r="N38" s="104">
        <v>0</v>
      </c>
      <c r="O38" s="104">
        <v>0</v>
      </c>
      <c r="P38" s="103">
        <v>5</v>
      </c>
      <c r="Q38" s="98" t="s">
        <v>212</v>
      </c>
    </row>
    <row r="39" spans="1:17">
      <c r="A39" s="96">
        <v>33</v>
      </c>
      <c r="B39" s="96" t="s">
        <v>273</v>
      </c>
      <c r="C39" s="96" t="s">
        <v>274</v>
      </c>
      <c r="D39" s="96" t="s">
        <v>276</v>
      </c>
      <c r="E39" s="99" t="s">
        <v>115</v>
      </c>
      <c r="F39" s="99" t="s">
        <v>148</v>
      </c>
      <c r="G39" s="100" t="s">
        <v>225</v>
      </c>
      <c r="H39" s="102" t="s">
        <v>151</v>
      </c>
      <c r="I39" s="102">
        <v>218</v>
      </c>
      <c r="J39" s="103">
        <v>217</v>
      </c>
      <c r="K39" s="104"/>
      <c r="L39" s="102">
        <v>1</v>
      </c>
      <c r="M39" s="103">
        <v>0</v>
      </c>
      <c r="N39" s="104">
        <v>0</v>
      </c>
      <c r="O39" s="104">
        <v>0</v>
      </c>
      <c r="P39" s="103">
        <v>0</v>
      </c>
      <c r="Q39" s="98" t="s">
        <v>212</v>
      </c>
    </row>
    <row r="40" spans="1:17">
      <c r="A40" s="96">
        <v>34</v>
      </c>
      <c r="B40" s="96" t="s">
        <v>273</v>
      </c>
      <c r="C40" s="96" t="s">
        <v>274</v>
      </c>
      <c r="D40" s="96" t="s">
        <v>277</v>
      </c>
      <c r="E40" s="99" t="s">
        <v>115</v>
      </c>
      <c r="F40" s="99" t="s">
        <v>148</v>
      </c>
      <c r="G40" s="100" t="s">
        <v>225</v>
      </c>
      <c r="H40" s="102" t="s">
        <v>151</v>
      </c>
      <c r="I40" s="102">
        <v>0</v>
      </c>
      <c r="J40" s="103">
        <v>0</v>
      </c>
      <c r="K40" s="104"/>
      <c r="L40" s="102">
        <v>0</v>
      </c>
      <c r="M40" s="103">
        <v>0</v>
      </c>
      <c r="N40" s="104">
        <v>0</v>
      </c>
      <c r="O40" s="104">
        <v>0</v>
      </c>
      <c r="P40" s="103">
        <v>0</v>
      </c>
      <c r="Q40" s="98"/>
    </row>
    <row r="41" spans="1:17">
      <c r="A41" s="96">
        <v>35</v>
      </c>
      <c r="B41" s="96" t="s">
        <v>273</v>
      </c>
      <c r="C41" s="96" t="s">
        <v>274</v>
      </c>
      <c r="D41" s="96" t="s">
        <v>278</v>
      </c>
      <c r="E41" s="99" t="s">
        <v>115</v>
      </c>
      <c r="F41" s="99" t="s">
        <v>148</v>
      </c>
      <c r="G41" s="100" t="s">
        <v>225</v>
      </c>
      <c r="H41" s="102" t="s">
        <v>151</v>
      </c>
      <c r="I41" s="102">
        <v>0</v>
      </c>
      <c r="J41" s="103">
        <v>0</v>
      </c>
      <c r="K41" s="104"/>
      <c r="L41" s="102">
        <v>0</v>
      </c>
      <c r="M41" s="103">
        <v>0</v>
      </c>
      <c r="N41" s="104">
        <v>0</v>
      </c>
      <c r="O41" s="104">
        <v>0</v>
      </c>
      <c r="P41" s="103">
        <v>0</v>
      </c>
      <c r="Q41" s="98"/>
    </row>
    <row r="42" spans="1:17">
      <c r="A42" s="96">
        <v>36</v>
      </c>
      <c r="B42" s="96" t="s">
        <v>273</v>
      </c>
      <c r="C42" s="96" t="s">
        <v>274</v>
      </c>
      <c r="D42" s="96" t="s">
        <v>279</v>
      </c>
      <c r="E42" s="99" t="s">
        <v>115</v>
      </c>
      <c r="F42" s="99" t="s">
        <v>148</v>
      </c>
      <c r="G42" s="100" t="s">
        <v>225</v>
      </c>
      <c r="H42" s="102" t="s">
        <v>151</v>
      </c>
      <c r="I42" s="102">
        <v>266</v>
      </c>
      <c r="J42" s="103">
        <v>265</v>
      </c>
      <c r="K42" s="104"/>
      <c r="L42" s="102">
        <v>1</v>
      </c>
      <c r="M42" s="103">
        <v>0</v>
      </c>
      <c r="N42" s="104">
        <v>0</v>
      </c>
      <c r="O42" s="104">
        <v>0</v>
      </c>
      <c r="P42" s="103">
        <v>0</v>
      </c>
      <c r="Q42" s="98" t="s">
        <v>212</v>
      </c>
    </row>
    <row r="43" spans="1:17">
      <c r="A43" s="96">
        <v>37</v>
      </c>
      <c r="B43" s="96" t="s">
        <v>273</v>
      </c>
      <c r="C43" s="96" t="s">
        <v>274</v>
      </c>
      <c r="D43" s="96" t="s">
        <v>280</v>
      </c>
      <c r="E43" s="99" t="s">
        <v>115</v>
      </c>
      <c r="F43" s="99" t="s">
        <v>148</v>
      </c>
      <c r="G43" s="100" t="s">
        <v>225</v>
      </c>
      <c r="H43" s="102" t="s">
        <v>151</v>
      </c>
      <c r="I43" s="102">
        <v>0</v>
      </c>
      <c r="J43" s="103">
        <v>0</v>
      </c>
      <c r="K43" s="104"/>
      <c r="L43" s="102">
        <v>0</v>
      </c>
      <c r="M43" s="103">
        <v>0</v>
      </c>
      <c r="N43" s="104">
        <v>0</v>
      </c>
      <c r="O43" s="104">
        <v>0</v>
      </c>
      <c r="P43" s="103">
        <v>0</v>
      </c>
      <c r="Q43" s="98"/>
    </row>
    <row r="44" spans="1:17">
      <c r="A44" s="96">
        <v>38</v>
      </c>
      <c r="B44" s="96" t="s">
        <v>273</v>
      </c>
      <c r="C44" s="96" t="s">
        <v>274</v>
      </c>
      <c r="D44" s="96" t="s">
        <v>281</v>
      </c>
      <c r="E44" s="99" t="s">
        <v>115</v>
      </c>
      <c r="F44" s="99" t="s">
        <v>148</v>
      </c>
      <c r="G44" s="100" t="s">
        <v>225</v>
      </c>
      <c r="H44" s="102" t="s">
        <v>151</v>
      </c>
      <c r="I44" s="102">
        <v>21</v>
      </c>
      <c r="J44" s="103">
        <v>20</v>
      </c>
      <c r="K44" s="104"/>
      <c r="L44" s="102">
        <v>1</v>
      </c>
      <c r="M44" s="103">
        <v>0</v>
      </c>
      <c r="N44" s="104">
        <v>0</v>
      </c>
      <c r="O44" s="104">
        <v>0</v>
      </c>
      <c r="P44" s="103">
        <v>0</v>
      </c>
      <c r="Q44" s="98" t="s">
        <v>212</v>
      </c>
    </row>
    <row r="45" spans="1:17">
      <c r="A45" s="96">
        <v>39</v>
      </c>
      <c r="B45" s="96" t="s">
        <v>273</v>
      </c>
      <c r="C45" s="96" t="s">
        <v>274</v>
      </c>
      <c r="D45" s="96" t="s">
        <v>282</v>
      </c>
      <c r="E45" s="99" t="s">
        <v>115</v>
      </c>
      <c r="F45" s="99" t="s">
        <v>148</v>
      </c>
      <c r="G45" s="100" t="s">
        <v>225</v>
      </c>
      <c r="H45" s="102" t="s">
        <v>151</v>
      </c>
      <c r="I45" s="102">
        <v>102</v>
      </c>
      <c r="J45" s="103">
        <v>101</v>
      </c>
      <c r="K45" s="104"/>
      <c r="L45" s="102">
        <v>1</v>
      </c>
      <c r="M45" s="103">
        <v>1</v>
      </c>
      <c r="N45" s="104">
        <v>0</v>
      </c>
      <c r="O45" s="104">
        <v>0</v>
      </c>
      <c r="P45" s="103">
        <v>1</v>
      </c>
      <c r="Q45" s="98" t="s">
        <v>212</v>
      </c>
    </row>
    <row r="46" spans="1:17">
      <c r="A46" s="96">
        <v>40</v>
      </c>
      <c r="B46" s="96" t="s">
        <v>273</v>
      </c>
      <c r="C46" s="96" t="s">
        <v>274</v>
      </c>
      <c r="D46" s="96" t="s">
        <v>283</v>
      </c>
      <c r="E46" s="99" t="s">
        <v>115</v>
      </c>
      <c r="F46" s="99" t="s">
        <v>148</v>
      </c>
      <c r="G46" s="100" t="s">
        <v>225</v>
      </c>
      <c r="H46" s="102" t="s">
        <v>151</v>
      </c>
      <c r="I46" s="102">
        <v>0</v>
      </c>
      <c r="J46" s="103">
        <v>0</v>
      </c>
      <c r="K46" s="104"/>
      <c r="L46" s="102">
        <v>0</v>
      </c>
      <c r="M46" s="103">
        <v>0</v>
      </c>
      <c r="N46" s="104">
        <v>0</v>
      </c>
      <c r="O46" s="104">
        <v>0</v>
      </c>
      <c r="P46" s="103">
        <v>0</v>
      </c>
      <c r="Q46" s="98"/>
    </row>
    <row r="47" spans="1:17">
      <c r="A47" s="96">
        <v>41</v>
      </c>
      <c r="B47" s="96" t="s">
        <v>273</v>
      </c>
      <c r="C47" s="96" t="s">
        <v>274</v>
      </c>
      <c r="D47" s="96" t="s">
        <v>284</v>
      </c>
      <c r="E47" s="99" t="s">
        <v>115</v>
      </c>
      <c r="F47" s="99" t="s">
        <v>148</v>
      </c>
      <c r="G47" s="100" t="s">
        <v>225</v>
      </c>
      <c r="H47" s="102" t="s">
        <v>151</v>
      </c>
      <c r="I47" s="102">
        <v>0</v>
      </c>
      <c r="J47" s="103">
        <v>0</v>
      </c>
      <c r="K47" s="104"/>
      <c r="L47" s="102">
        <v>0</v>
      </c>
      <c r="M47" s="103">
        <v>0</v>
      </c>
      <c r="N47" s="104">
        <v>0</v>
      </c>
      <c r="O47" s="104">
        <v>0</v>
      </c>
      <c r="P47" s="103">
        <v>0</v>
      </c>
      <c r="Q47" s="98"/>
    </row>
    <row r="48" spans="1:17">
      <c r="A48" s="96">
        <v>42</v>
      </c>
      <c r="B48" s="96" t="s">
        <v>273</v>
      </c>
      <c r="C48" s="96" t="s">
        <v>274</v>
      </c>
      <c r="D48" s="96" t="s">
        <v>285</v>
      </c>
      <c r="E48" s="99" t="s">
        <v>115</v>
      </c>
      <c r="F48" s="99" t="s">
        <v>148</v>
      </c>
      <c r="G48" s="100" t="s">
        <v>225</v>
      </c>
      <c r="H48" s="102" t="s">
        <v>151</v>
      </c>
      <c r="I48" s="102">
        <v>17</v>
      </c>
      <c r="J48" s="103">
        <v>17</v>
      </c>
      <c r="K48" s="104"/>
      <c r="L48" s="102">
        <v>0</v>
      </c>
      <c r="M48" s="103">
        <v>0</v>
      </c>
      <c r="N48" s="104">
        <v>0</v>
      </c>
      <c r="O48" s="104">
        <v>0</v>
      </c>
      <c r="P48" s="103">
        <v>0</v>
      </c>
      <c r="Q48" s="98"/>
    </row>
    <row r="49" spans="1:17">
      <c r="A49" s="108">
        <v>43</v>
      </c>
      <c r="B49" s="108" t="s">
        <v>286</v>
      </c>
      <c r="C49" s="108" t="s">
        <v>287</v>
      </c>
      <c r="D49" s="108" t="s">
        <v>286</v>
      </c>
      <c r="E49" s="115" t="s">
        <v>57</v>
      </c>
      <c r="F49" s="116" t="s">
        <v>148</v>
      </c>
      <c r="G49" s="116" t="s">
        <v>227</v>
      </c>
      <c r="H49" s="116" t="s">
        <v>215</v>
      </c>
      <c r="I49" s="116">
        <v>228</v>
      </c>
      <c r="J49" s="116">
        <v>222</v>
      </c>
      <c r="K49" s="116">
        <v>0</v>
      </c>
      <c r="L49" s="116">
        <v>6</v>
      </c>
      <c r="M49" s="116">
        <v>206</v>
      </c>
      <c r="N49" s="116">
        <v>200</v>
      </c>
      <c r="O49" s="116">
        <v>0</v>
      </c>
      <c r="P49" s="116">
        <v>6</v>
      </c>
      <c r="Q49" s="116" t="s">
        <v>212</v>
      </c>
    </row>
    <row r="50" spans="1:17">
      <c r="A50" s="108">
        <v>44</v>
      </c>
      <c r="B50" s="108" t="s">
        <v>286</v>
      </c>
      <c r="C50" s="108" t="s">
        <v>287</v>
      </c>
      <c r="D50" s="108" t="s">
        <v>288</v>
      </c>
      <c r="E50" s="109" t="s">
        <v>115</v>
      </c>
      <c r="F50" s="116" t="s">
        <v>148</v>
      </c>
      <c r="G50" s="116" t="s">
        <v>227</v>
      </c>
      <c r="H50" s="116" t="s">
        <v>215</v>
      </c>
      <c r="I50" s="116">
        <v>62</v>
      </c>
      <c r="J50" s="116">
        <v>61</v>
      </c>
      <c r="K50" s="116">
        <v>0</v>
      </c>
      <c r="L50" s="116">
        <v>1</v>
      </c>
      <c r="M50" s="116">
        <v>59</v>
      </c>
      <c r="N50" s="116">
        <v>58</v>
      </c>
      <c r="O50" s="116">
        <v>0</v>
      </c>
      <c r="P50" s="116">
        <v>1</v>
      </c>
      <c r="Q50" s="116" t="s">
        <v>212</v>
      </c>
    </row>
    <row r="51" spans="1:17">
      <c r="A51" s="96">
        <v>45</v>
      </c>
      <c r="B51" s="96" t="s">
        <v>289</v>
      </c>
      <c r="C51" s="96" t="s">
        <v>290</v>
      </c>
      <c r="D51" s="96" t="s">
        <v>291</v>
      </c>
      <c r="E51" s="97" t="s">
        <v>57</v>
      </c>
      <c r="F51" s="105" t="s">
        <v>148</v>
      </c>
      <c r="G51" s="105" t="s">
        <v>227</v>
      </c>
      <c r="H51" s="105" t="s">
        <v>141</v>
      </c>
      <c r="I51" s="105">
        <v>36</v>
      </c>
      <c r="J51" s="105">
        <v>31</v>
      </c>
      <c r="K51" s="105">
        <v>0</v>
      </c>
      <c r="L51" s="105">
        <v>5</v>
      </c>
      <c r="M51" s="105">
        <v>35</v>
      </c>
      <c r="N51" s="105">
        <v>30</v>
      </c>
      <c r="O51" s="105">
        <v>0</v>
      </c>
      <c r="P51" s="105">
        <v>5</v>
      </c>
      <c r="Q51" s="105" t="s">
        <v>212</v>
      </c>
    </row>
    <row r="52" spans="1:17">
      <c r="A52" s="96">
        <v>46</v>
      </c>
      <c r="B52" s="96" t="s">
        <v>289</v>
      </c>
      <c r="C52" s="96" t="s">
        <v>290</v>
      </c>
      <c r="D52" s="96" t="s">
        <v>292</v>
      </c>
      <c r="E52" s="99" t="s">
        <v>115</v>
      </c>
      <c r="F52" s="105" t="s">
        <v>148</v>
      </c>
      <c r="G52" s="105" t="s">
        <v>227</v>
      </c>
      <c r="H52" s="105" t="s">
        <v>141</v>
      </c>
      <c r="I52" s="105">
        <v>45</v>
      </c>
      <c r="J52" s="105">
        <v>41</v>
      </c>
      <c r="K52" s="105">
        <v>0</v>
      </c>
      <c r="L52" s="105">
        <v>4</v>
      </c>
      <c r="M52" s="105">
        <v>42</v>
      </c>
      <c r="N52" s="105">
        <v>38</v>
      </c>
      <c r="O52" s="105">
        <v>0</v>
      </c>
      <c r="P52" s="105">
        <v>4</v>
      </c>
      <c r="Q52" s="105" t="s">
        <v>212</v>
      </c>
    </row>
    <row r="53" spans="1:17">
      <c r="A53" s="96">
        <v>47</v>
      </c>
      <c r="B53" s="96" t="s">
        <v>289</v>
      </c>
      <c r="C53" s="96" t="s">
        <v>290</v>
      </c>
      <c r="D53" s="96" t="s">
        <v>293</v>
      </c>
      <c r="E53" s="99" t="s">
        <v>115</v>
      </c>
      <c r="F53" s="105" t="s">
        <v>148</v>
      </c>
      <c r="G53" s="105" t="s">
        <v>227</v>
      </c>
      <c r="H53" s="105" t="s">
        <v>141</v>
      </c>
      <c r="I53" s="105">
        <v>30</v>
      </c>
      <c r="J53" s="105">
        <v>23</v>
      </c>
      <c r="K53" s="105">
        <v>0</v>
      </c>
      <c r="L53" s="105">
        <v>7</v>
      </c>
      <c r="M53" s="105">
        <v>30</v>
      </c>
      <c r="N53" s="105">
        <v>23</v>
      </c>
      <c r="O53" s="105">
        <v>0</v>
      </c>
      <c r="P53" s="105">
        <v>7</v>
      </c>
      <c r="Q53" s="105" t="s">
        <v>212</v>
      </c>
    </row>
    <row r="54" spans="1:17">
      <c r="A54" s="108">
        <v>48</v>
      </c>
      <c r="B54" s="108" t="s">
        <v>294</v>
      </c>
      <c r="C54" s="108" t="s">
        <v>295</v>
      </c>
      <c r="D54" s="108" t="s">
        <v>294</v>
      </c>
      <c r="E54" s="115" t="s">
        <v>57</v>
      </c>
      <c r="F54" s="116" t="s">
        <v>148</v>
      </c>
      <c r="G54" s="116" t="s">
        <v>225</v>
      </c>
      <c r="H54" s="116" t="s">
        <v>141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/>
    </row>
    <row r="55" spans="1:17">
      <c r="A55" s="108">
        <v>49</v>
      </c>
      <c r="B55" s="108" t="s">
        <v>294</v>
      </c>
      <c r="C55" s="108" t="s">
        <v>295</v>
      </c>
      <c r="D55" s="108" t="s">
        <v>296</v>
      </c>
      <c r="E55" s="109" t="s">
        <v>115</v>
      </c>
      <c r="F55" s="116" t="s">
        <v>148</v>
      </c>
      <c r="G55" s="116" t="s">
        <v>225</v>
      </c>
      <c r="H55" s="116" t="s">
        <v>141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/>
    </row>
    <row r="56" spans="1:17">
      <c r="A56" s="96">
        <v>50</v>
      </c>
      <c r="B56" s="96" t="s">
        <v>297</v>
      </c>
      <c r="C56" s="96" t="s">
        <v>298</v>
      </c>
      <c r="D56" s="96" t="s">
        <v>297</v>
      </c>
      <c r="E56" s="97" t="s">
        <v>57</v>
      </c>
      <c r="F56" s="105" t="s">
        <v>148</v>
      </c>
      <c r="G56" s="105" t="s">
        <v>227</v>
      </c>
      <c r="H56" s="105" t="s">
        <v>141</v>
      </c>
      <c r="I56" s="105">
        <v>143</v>
      </c>
      <c r="J56" s="105">
        <v>135</v>
      </c>
      <c r="K56" s="105">
        <v>0</v>
      </c>
      <c r="L56" s="105">
        <v>8</v>
      </c>
      <c r="M56" s="105">
        <v>108</v>
      </c>
      <c r="N56" s="105">
        <v>100</v>
      </c>
      <c r="O56" s="105">
        <v>0</v>
      </c>
      <c r="P56" s="105">
        <v>8</v>
      </c>
      <c r="Q56" s="105" t="s">
        <v>212</v>
      </c>
    </row>
    <row r="57" spans="1:17">
      <c r="A57" s="96">
        <v>51</v>
      </c>
      <c r="B57" s="96" t="s">
        <v>297</v>
      </c>
      <c r="C57" s="96" t="s">
        <v>298</v>
      </c>
      <c r="D57" s="96" t="s">
        <v>299</v>
      </c>
      <c r="E57" s="99" t="s">
        <v>115</v>
      </c>
      <c r="F57" s="105" t="s">
        <v>148</v>
      </c>
      <c r="G57" s="105" t="s">
        <v>227</v>
      </c>
      <c r="H57" s="105" t="s">
        <v>141</v>
      </c>
      <c r="I57" s="105">
        <v>61</v>
      </c>
      <c r="J57" s="105">
        <v>59</v>
      </c>
      <c r="K57" s="105">
        <v>0</v>
      </c>
      <c r="L57" s="105">
        <v>2</v>
      </c>
      <c r="M57" s="105">
        <v>27</v>
      </c>
      <c r="N57" s="105">
        <v>25</v>
      </c>
      <c r="O57" s="105">
        <v>0</v>
      </c>
      <c r="P57" s="105">
        <v>2</v>
      </c>
      <c r="Q57" s="105" t="s">
        <v>212</v>
      </c>
    </row>
    <row r="58" spans="1:17">
      <c r="A58" s="108">
        <v>52</v>
      </c>
      <c r="B58" s="108" t="s">
        <v>300</v>
      </c>
      <c r="C58" s="108" t="s">
        <v>301</v>
      </c>
      <c r="D58" s="108" t="s">
        <v>302</v>
      </c>
      <c r="E58" s="115" t="s">
        <v>57</v>
      </c>
      <c r="F58" s="116" t="s">
        <v>148</v>
      </c>
      <c r="G58" s="116" t="s">
        <v>227</v>
      </c>
      <c r="H58" s="116" t="s">
        <v>141</v>
      </c>
      <c r="I58" s="116">
        <v>63</v>
      </c>
      <c r="J58" s="116">
        <v>59</v>
      </c>
      <c r="K58" s="116">
        <v>0</v>
      </c>
      <c r="L58" s="116">
        <v>4</v>
      </c>
      <c r="M58" s="116">
        <v>59</v>
      </c>
      <c r="N58" s="116">
        <v>55</v>
      </c>
      <c r="O58" s="116">
        <v>0</v>
      </c>
      <c r="P58" s="116">
        <v>4</v>
      </c>
      <c r="Q58" s="116" t="s">
        <v>212</v>
      </c>
    </row>
    <row r="59" spans="1:17">
      <c r="A59" s="108">
        <v>53</v>
      </c>
      <c r="B59" s="108" t="s">
        <v>300</v>
      </c>
      <c r="C59" s="108" t="s">
        <v>301</v>
      </c>
      <c r="D59" s="108" t="s">
        <v>303</v>
      </c>
      <c r="E59" s="109" t="s">
        <v>115</v>
      </c>
      <c r="F59" s="116" t="s">
        <v>148</v>
      </c>
      <c r="G59" s="116" t="s">
        <v>227</v>
      </c>
      <c r="H59" s="116" t="s">
        <v>141</v>
      </c>
      <c r="I59" s="116">
        <v>47</v>
      </c>
      <c r="J59" s="116">
        <v>45</v>
      </c>
      <c r="K59" s="116">
        <v>0</v>
      </c>
      <c r="L59" s="116">
        <v>2</v>
      </c>
      <c r="M59" s="116">
        <v>42</v>
      </c>
      <c r="N59" s="116">
        <v>40</v>
      </c>
      <c r="O59" s="116">
        <v>0</v>
      </c>
      <c r="P59" s="116">
        <v>2</v>
      </c>
      <c r="Q59" s="116" t="s">
        <v>212</v>
      </c>
    </row>
    <row r="60" spans="1:17">
      <c r="A60" s="108">
        <v>54</v>
      </c>
      <c r="B60" s="108" t="s">
        <v>300</v>
      </c>
      <c r="C60" s="108" t="s">
        <v>301</v>
      </c>
      <c r="D60" s="108" t="s">
        <v>304</v>
      </c>
      <c r="E60" s="109" t="s">
        <v>115</v>
      </c>
      <c r="F60" s="116" t="s">
        <v>148</v>
      </c>
      <c r="G60" s="116" t="s">
        <v>227</v>
      </c>
      <c r="H60" s="116" t="s">
        <v>141</v>
      </c>
      <c r="I60" s="116">
        <v>27</v>
      </c>
      <c r="J60" s="116">
        <v>24</v>
      </c>
      <c r="K60" s="116">
        <v>0</v>
      </c>
      <c r="L60" s="116">
        <v>3</v>
      </c>
      <c r="M60" s="116">
        <v>23</v>
      </c>
      <c r="N60" s="116">
        <v>20</v>
      </c>
      <c r="O60" s="116">
        <v>0</v>
      </c>
      <c r="P60" s="116">
        <v>3</v>
      </c>
      <c r="Q60" s="116" t="s">
        <v>212</v>
      </c>
    </row>
    <row r="61" spans="1:17">
      <c r="A61" s="108">
        <v>55</v>
      </c>
      <c r="B61" s="108" t="s">
        <v>300</v>
      </c>
      <c r="C61" s="108" t="s">
        <v>301</v>
      </c>
      <c r="D61" s="108" t="s">
        <v>305</v>
      </c>
      <c r="E61" s="109" t="s">
        <v>115</v>
      </c>
      <c r="F61" s="116" t="s">
        <v>148</v>
      </c>
      <c r="G61" s="116" t="s">
        <v>227</v>
      </c>
      <c r="H61" s="116" t="s">
        <v>141</v>
      </c>
      <c r="I61" s="116">
        <v>28</v>
      </c>
      <c r="J61" s="116">
        <v>18</v>
      </c>
      <c r="K61" s="116">
        <v>0</v>
      </c>
      <c r="L61" s="116">
        <v>10</v>
      </c>
      <c r="M61" s="116">
        <v>28</v>
      </c>
      <c r="N61" s="116">
        <v>18</v>
      </c>
      <c r="O61" s="116">
        <v>0</v>
      </c>
      <c r="P61" s="116">
        <v>10</v>
      </c>
      <c r="Q61" s="116" t="s">
        <v>212</v>
      </c>
    </row>
    <row r="62" spans="1:17">
      <c r="A62" s="108">
        <v>56</v>
      </c>
      <c r="B62" s="108" t="s">
        <v>300</v>
      </c>
      <c r="C62" s="108" t="s">
        <v>301</v>
      </c>
      <c r="D62" s="108" t="s">
        <v>306</v>
      </c>
      <c r="E62" s="109" t="s">
        <v>115</v>
      </c>
      <c r="F62" s="116" t="s">
        <v>148</v>
      </c>
      <c r="G62" s="116" t="s">
        <v>227</v>
      </c>
      <c r="H62" s="116" t="s">
        <v>141</v>
      </c>
      <c r="I62" s="116">
        <v>615</v>
      </c>
      <c r="J62" s="116">
        <v>600</v>
      </c>
      <c r="K62" s="116">
        <v>0</v>
      </c>
      <c r="L62" s="116">
        <v>15</v>
      </c>
      <c r="M62" s="116">
        <v>565</v>
      </c>
      <c r="N62" s="116">
        <v>550</v>
      </c>
      <c r="O62" s="116">
        <v>0</v>
      </c>
      <c r="P62" s="116">
        <v>15</v>
      </c>
      <c r="Q62" s="116" t="s">
        <v>212</v>
      </c>
    </row>
    <row r="63" spans="1:17">
      <c r="A63" s="108">
        <v>57</v>
      </c>
      <c r="B63" s="108" t="s">
        <v>300</v>
      </c>
      <c r="C63" s="108" t="s">
        <v>301</v>
      </c>
      <c r="D63" s="108" t="s">
        <v>307</v>
      </c>
      <c r="E63" s="109" t="s">
        <v>115</v>
      </c>
      <c r="F63" s="116" t="s">
        <v>148</v>
      </c>
      <c r="G63" s="116" t="s">
        <v>227</v>
      </c>
      <c r="H63" s="116" t="s">
        <v>141</v>
      </c>
      <c r="I63" s="116">
        <v>120</v>
      </c>
      <c r="J63" s="116">
        <v>115</v>
      </c>
      <c r="K63" s="116">
        <v>0</v>
      </c>
      <c r="L63" s="116">
        <v>5</v>
      </c>
      <c r="M63" s="116">
        <v>115</v>
      </c>
      <c r="N63" s="116">
        <v>110</v>
      </c>
      <c r="O63" s="116">
        <v>0</v>
      </c>
      <c r="P63" s="116">
        <v>5</v>
      </c>
      <c r="Q63" s="116" t="s">
        <v>212</v>
      </c>
    </row>
    <row r="64" spans="1:17">
      <c r="A64" s="96">
        <v>58</v>
      </c>
      <c r="B64" s="96" t="s">
        <v>308</v>
      </c>
      <c r="C64" s="96" t="s">
        <v>309</v>
      </c>
      <c r="D64" s="96" t="s">
        <v>308</v>
      </c>
      <c r="E64" s="97" t="s">
        <v>57</v>
      </c>
      <c r="F64" s="105" t="s">
        <v>148</v>
      </c>
      <c r="G64" s="105" t="s">
        <v>227</v>
      </c>
      <c r="H64" s="105" t="s">
        <v>141</v>
      </c>
      <c r="I64" s="105">
        <v>27</v>
      </c>
      <c r="J64" s="105">
        <v>17</v>
      </c>
      <c r="K64" s="105">
        <v>0</v>
      </c>
      <c r="L64" s="105">
        <v>10</v>
      </c>
      <c r="M64" s="105">
        <v>25</v>
      </c>
      <c r="N64" s="105">
        <v>15</v>
      </c>
      <c r="O64" s="105">
        <v>0</v>
      </c>
      <c r="P64" s="105">
        <v>10</v>
      </c>
      <c r="Q64" s="105" t="s">
        <v>212</v>
      </c>
    </row>
    <row r="65" spans="1:17">
      <c r="A65" s="96">
        <v>59</v>
      </c>
      <c r="B65" s="96" t="s">
        <v>308</v>
      </c>
      <c r="C65" s="96" t="s">
        <v>309</v>
      </c>
      <c r="D65" s="96" t="s">
        <v>310</v>
      </c>
      <c r="E65" s="99" t="s">
        <v>115</v>
      </c>
      <c r="F65" s="105" t="s">
        <v>148</v>
      </c>
      <c r="G65" s="105" t="s">
        <v>225</v>
      </c>
      <c r="H65" s="105" t="s">
        <v>141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0</v>
      </c>
      <c r="O65" s="105">
        <v>0</v>
      </c>
      <c r="P65" s="105">
        <v>0</v>
      </c>
      <c r="Q65" s="105"/>
    </row>
    <row r="66" spans="1:17">
      <c r="A66" s="96">
        <v>60</v>
      </c>
      <c r="B66" s="96" t="s">
        <v>308</v>
      </c>
      <c r="C66" s="96" t="s">
        <v>309</v>
      </c>
      <c r="D66" s="96" t="s">
        <v>311</v>
      </c>
      <c r="E66" s="99" t="s">
        <v>115</v>
      </c>
      <c r="F66" s="105" t="s">
        <v>148</v>
      </c>
      <c r="G66" s="105" t="s">
        <v>227</v>
      </c>
      <c r="H66" s="105" t="s">
        <v>141</v>
      </c>
      <c r="I66" s="105">
        <v>34</v>
      </c>
      <c r="J66" s="105">
        <v>26</v>
      </c>
      <c r="K66" s="105">
        <v>0</v>
      </c>
      <c r="L66" s="105">
        <v>8</v>
      </c>
      <c r="M66" s="105">
        <v>34</v>
      </c>
      <c r="N66" s="105">
        <v>26</v>
      </c>
      <c r="O66" s="105">
        <v>0</v>
      </c>
      <c r="P66" s="105">
        <v>8</v>
      </c>
      <c r="Q66" s="105" t="s">
        <v>212</v>
      </c>
    </row>
    <row r="67" spans="1:17">
      <c r="A67" s="108">
        <v>61</v>
      </c>
      <c r="B67" s="108" t="s">
        <v>312</v>
      </c>
      <c r="C67" s="108" t="s">
        <v>313</v>
      </c>
      <c r="D67" s="108" t="s">
        <v>314</v>
      </c>
      <c r="E67" s="115" t="s">
        <v>57</v>
      </c>
      <c r="F67" s="116" t="s">
        <v>148</v>
      </c>
      <c r="G67" s="116" t="s">
        <v>225</v>
      </c>
      <c r="H67" s="116" t="s">
        <v>141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/>
    </row>
    <row r="68" spans="1:17">
      <c r="A68" s="108">
        <v>62</v>
      </c>
      <c r="B68" s="108" t="s">
        <v>312</v>
      </c>
      <c r="C68" s="108" t="s">
        <v>313</v>
      </c>
      <c r="D68" s="108" t="s">
        <v>315</v>
      </c>
      <c r="E68" s="109" t="s">
        <v>115</v>
      </c>
      <c r="F68" s="116" t="s">
        <v>148</v>
      </c>
      <c r="G68" s="116" t="s">
        <v>225</v>
      </c>
      <c r="H68" s="116" t="s">
        <v>141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/>
    </row>
    <row r="69" spans="1:17">
      <c r="A69" s="96">
        <v>63</v>
      </c>
      <c r="B69" s="96" t="s">
        <v>316</v>
      </c>
      <c r="C69" s="96" t="s">
        <v>317</v>
      </c>
      <c r="D69" s="96" t="s">
        <v>318</v>
      </c>
      <c r="E69" s="97" t="s">
        <v>57</v>
      </c>
      <c r="F69" s="105" t="s">
        <v>148</v>
      </c>
      <c r="G69" s="105" t="s">
        <v>227</v>
      </c>
      <c r="H69" s="105" t="s">
        <v>141</v>
      </c>
      <c r="I69" s="105">
        <v>26</v>
      </c>
      <c r="J69" s="105">
        <v>16</v>
      </c>
      <c r="K69" s="105">
        <v>0</v>
      </c>
      <c r="L69" s="105">
        <v>10</v>
      </c>
      <c r="M69" s="105">
        <v>26</v>
      </c>
      <c r="N69" s="105">
        <v>16</v>
      </c>
      <c r="O69" s="105">
        <v>0</v>
      </c>
      <c r="P69" s="105">
        <v>10</v>
      </c>
      <c r="Q69" s="105" t="s">
        <v>212</v>
      </c>
    </row>
    <row r="70" spans="1:17">
      <c r="A70" s="96">
        <v>64</v>
      </c>
      <c r="B70" s="96" t="s">
        <v>316</v>
      </c>
      <c r="C70" s="96" t="s">
        <v>317</v>
      </c>
      <c r="D70" s="96" t="s">
        <v>319</v>
      </c>
      <c r="E70" s="99" t="s">
        <v>115</v>
      </c>
      <c r="F70" s="105" t="s">
        <v>148</v>
      </c>
      <c r="G70" s="105" t="s">
        <v>225</v>
      </c>
      <c r="H70" s="105" t="s">
        <v>141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0</v>
      </c>
      <c r="O70" s="105">
        <v>0</v>
      </c>
      <c r="P70" s="105">
        <v>0</v>
      </c>
      <c r="Q70" s="105"/>
    </row>
    <row r="71" spans="1:17">
      <c r="A71" s="96">
        <v>65</v>
      </c>
      <c r="B71" s="96" t="s">
        <v>316</v>
      </c>
      <c r="C71" s="96" t="s">
        <v>317</v>
      </c>
      <c r="D71" s="96" t="s">
        <v>320</v>
      </c>
      <c r="E71" s="99" t="s">
        <v>115</v>
      </c>
      <c r="F71" s="105" t="s">
        <v>148</v>
      </c>
      <c r="G71" s="105" t="s">
        <v>227</v>
      </c>
      <c r="H71" s="105" t="s">
        <v>141</v>
      </c>
      <c r="I71" s="105">
        <v>34</v>
      </c>
      <c r="J71" s="105">
        <v>32</v>
      </c>
      <c r="K71" s="105">
        <v>0</v>
      </c>
      <c r="L71" s="105">
        <v>2</v>
      </c>
      <c r="M71" s="105">
        <v>32</v>
      </c>
      <c r="N71" s="105">
        <v>30</v>
      </c>
      <c r="O71" s="105">
        <v>0</v>
      </c>
      <c r="P71" s="105">
        <v>2</v>
      </c>
      <c r="Q71" s="105" t="s">
        <v>212</v>
      </c>
    </row>
    <row r="72" spans="1:17">
      <c r="A72" s="96">
        <v>66</v>
      </c>
      <c r="B72" s="96" t="s">
        <v>316</v>
      </c>
      <c r="C72" s="96" t="s">
        <v>317</v>
      </c>
      <c r="D72" s="96" t="s">
        <v>316</v>
      </c>
      <c r="E72" s="99" t="s">
        <v>115</v>
      </c>
      <c r="F72" s="105" t="s">
        <v>148</v>
      </c>
      <c r="G72" s="105" t="s">
        <v>227</v>
      </c>
      <c r="H72" s="105" t="s">
        <v>141</v>
      </c>
      <c r="I72" s="105">
        <v>48</v>
      </c>
      <c r="J72" s="105">
        <v>42</v>
      </c>
      <c r="K72" s="105">
        <v>0</v>
      </c>
      <c r="L72" s="105">
        <v>6</v>
      </c>
      <c r="M72" s="105">
        <v>46</v>
      </c>
      <c r="N72" s="105">
        <v>40</v>
      </c>
      <c r="O72" s="105">
        <v>0</v>
      </c>
      <c r="P72" s="105">
        <v>6</v>
      </c>
      <c r="Q72" s="105" t="s">
        <v>212</v>
      </c>
    </row>
    <row r="73" spans="1:17">
      <c r="A73" s="108">
        <v>67</v>
      </c>
      <c r="B73" s="108" t="s">
        <v>321</v>
      </c>
      <c r="C73" s="108" t="s">
        <v>322</v>
      </c>
      <c r="D73" s="108" t="s">
        <v>323</v>
      </c>
      <c r="E73" s="115" t="s">
        <v>57</v>
      </c>
      <c r="F73" s="116" t="s">
        <v>148</v>
      </c>
      <c r="G73" s="116" t="s">
        <v>225</v>
      </c>
      <c r="H73" s="116" t="s">
        <v>141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/>
    </row>
    <row r="74" spans="1:17">
      <c r="A74" s="96">
        <v>68</v>
      </c>
      <c r="B74" s="96" t="s">
        <v>324</v>
      </c>
      <c r="C74" s="96" t="s">
        <v>325</v>
      </c>
      <c r="D74" s="96" t="s">
        <v>324</v>
      </c>
      <c r="E74" s="99" t="s">
        <v>57</v>
      </c>
      <c r="F74" s="105" t="s">
        <v>148</v>
      </c>
      <c r="G74" s="105" t="s">
        <v>227</v>
      </c>
      <c r="H74" s="105" t="s">
        <v>141</v>
      </c>
      <c r="I74" s="105">
        <v>63</v>
      </c>
      <c r="J74" s="105">
        <v>48</v>
      </c>
      <c r="K74" s="105">
        <v>0</v>
      </c>
      <c r="L74" s="105">
        <v>15</v>
      </c>
      <c r="M74" s="105">
        <v>63</v>
      </c>
      <c r="N74" s="105">
        <v>48</v>
      </c>
      <c r="O74" s="105">
        <v>0</v>
      </c>
      <c r="P74" s="105">
        <v>15</v>
      </c>
      <c r="Q74" s="105" t="s">
        <v>212</v>
      </c>
    </row>
    <row r="75" spans="1:17">
      <c r="A75" s="108">
        <v>69</v>
      </c>
      <c r="B75" s="108" t="s">
        <v>326</v>
      </c>
      <c r="C75" s="108" t="s">
        <v>327</v>
      </c>
      <c r="D75" s="108" t="s">
        <v>326</v>
      </c>
      <c r="E75" s="115" t="s">
        <v>57</v>
      </c>
      <c r="F75" s="116" t="s">
        <v>148</v>
      </c>
      <c r="G75" s="116" t="s">
        <v>227</v>
      </c>
      <c r="H75" s="116" t="s">
        <v>141</v>
      </c>
      <c r="I75" s="116">
        <v>53</v>
      </c>
      <c r="J75" s="116">
        <v>45</v>
      </c>
      <c r="K75" s="116">
        <v>0</v>
      </c>
      <c r="L75" s="116">
        <v>8</v>
      </c>
      <c r="M75" s="116">
        <v>53</v>
      </c>
      <c r="N75" s="116">
        <v>45</v>
      </c>
      <c r="O75" s="116">
        <v>0</v>
      </c>
      <c r="P75" s="116">
        <v>8</v>
      </c>
      <c r="Q75" s="116" t="s">
        <v>212</v>
      </c>
    </row>
    <row r="76" spans="1:17">
      <c r="A76" s="108">
        <v>70</v>
      </c>
      <c r="B76" s="108" t="s">
        <v>326</v>
      </c>
      <c r="C76" s="108" t="s">
        <v>327</v>
      </c>
      <c r="D76" s="108" t="s">
        <v>328</v>
      </c>
      <c r="E76" s="109" t="s">
        <v>115</v>
      </c>
      <c r="F76" s="116" t="s">
        <v>148</v>
      </c>
      <c r="G76" s="116" t="s">
        <v>227</v>
      </c>
      <c r="H76" s="116" t="s">
        <v>141</v>
      </c>
      <c r="I76" s="116">
        <v>46</v>
      </c>
      <c r="J76" s="116">
        <v>40</v>
      </c>
      <c r="K76" s="116">
        <v>0</v>
      </c>
      <c r="L76" s="116">
        <v>6</v>
      </c>
      <c r="M76" s="116">
        <v>46</v>
      </c>
      <c r="N76" s="116">
        <v>40</v>
      </c>
      <c r="O76" s="116">
        <v>0</v>
      </c>
      <c r="P76" s="116">
        <v>6</v>
      </c>
      <c r="Q76" s="116" t="s">
        <v>212</v>
      </c>
    </row>
    <row r="77" spans="1:17">
      <c r="A77" s="96">
        <v>71</v>
      </c>
      <c r="B77" s="96" t="s">
        <v>329</v>
      </c>
      <c r="C77" s="96" t="s">
        <v>330</v>
      </c>
      <c r="D77" s="96" t="s">
        <v>331</v>
      </c>
      <c r="E77" s="97" t="s">
        <v>57</v>
      </c>
      <c r="F77" s="105" t="s">
        <v>148</v>
      </c>
      <c r="G77" s="105" t="s">
        <v>225</v>
      </c>
      <c r="H77" s="105" t="s">
        <v>141</v>
      </c>
      <c r="I77" s="105">
        <v>0</v>
      </c>
      <c r="J77" s="105">
        <v>0</v>
      </c>
      <c r="K77" s="105">
        <v>0</v>
      </c>
      <c r="L77" s="105">
        <v>0</v>
      </c>
      <c r="M77" s="105">
        <v>0</v>
      </c>
      <c r="N77" s="105">
        <v>0</v>
      </c>
      <c r="O77" s="105">
        <v>0</v>
      </c>
      <c r="P77" s="105">
        <v>0</v>
      </c>
      <c r="Q77" s="105"/>
    </row>
    <row r="78" spans="1:17">
      <c r="A78" s="96">
        <v>72</v>
      </c>
      <c r="B78" s="96" t="s">
        <v>329</v>
      </c>
      <c r="C78" s="96" t="s">
        <v>330</v>
      </c>
      <c r="D78" s="96" t="s">
        <v>329</v>
      </c>
      <c r="E78" s="99" t="s">
        <v>115</v>
      </c>
      <c r="F78" s="105" t="s">
        <v>148</v>
      </c>
      <c r="G78" s="105" t="s">
        <v>227</v>
      </c>
      <c r="H78" s="105" t="s">
        <v>141</v>
      </c>
      <c r="I78" s="105">
        <v>150</v>
      </c>
      <c r="J78" s="105">
        <v>140</v>
      </c>
      <c r="K78" s="105">
        <v>0</v>
      </c>
      <c r="L78" s="105">
        <v>10</v>
      </c>
      <c r="M78" s="105">
        <v>150</v>
      </c>
      <c r="N78" s="105">
        <v>140</v>
      </c>
      <c r="O78" s="105">
        <v>0</v>
      </c>
      <c r="P78" s="105">
        <v>10</v>
      </c>
      <c r="Q78" s="105" t="s">
        <v>212</v>
      </c>
    </row>
    <row r="79" spans="1:17">
      <c r="A79" s="96">
        <v>73</v>
      </c>
      <c r="B79" s="96" t="s">
        <v>329</v>
      </c>
      <c r="C79" s="96" t="s">
        <v>330</v>
      </c>
      <c r="D79" s="96" t="s">
        <v>332</v>
      </c>
      <c r="E79" s="99" t="s">
        <v>115</v>
      </c>
      <c r="F79" s="105" t="s">
        <v>148</v>
      </c>
      <c r="G79" s="105" t="s">
        <v>227</v>
      </c>
      <c r="H79" s="105" t="s">
        <v>141</v>
      </c>
      <c r="I79" s="105">
        <v>1687</v>
      </c>
      <c r="J79" s="105">
        <v>1667</v>
      </c>
      <c r="K79" s="105">
        <v>0</v>
      </c>
      <c r="L79" s="105">
        <v>20</v>
      </c>
      <c r="M79" s="105">
        <v>570</v>
      </c>
      <c r="N79" s="105">
        <v>550</v>
      </c>
      <c r="O79" s="105">
        <v>0</v>
      </c>
      <c r="P79" s="105">
        <v>20</v>
      </c>
      <c r="Q79" s="105" t="s">
        <v>212</v>
      </c>
    </row>
    <row r="80" spans="1:17">
      <c r="A80" s="96">
        <v>74</v>
      </c>
      <c r="B80" s="96" t="s">
        <v>329</v>
      </c>
      <c r="C80" s="96" t="s">
        <v>330</v>
      </c>
      <c r="D80" s="96" t="s">
        <v>333</v>
      </c>
      <c r="E80" s="99" t="s">
        <v>115</v>
      </c>
      <c r="F80" s="105" t="s">
        <v>148</v>
      </c>
      <c r="G80" s="105" t="s">
        <v>227</v>
      </c>
      <c r="H80" s="105" t="s">
        <v>141</v>
      </c>
      <c r="I80" s="105">
        <v>160</v>
      </c>
      <c r="J80" s="105">
        <v>148</v>
      </c>
      <c r="K80" s="105">
        <v>0</v>
      </c>
      <c r="L80" s="105">
        <v>12</v>
      </c>
      <c r="M80" s="105">
        <v>132</v>
      </c>
      <c r="N80" s="105">
        <v>120</v>
      </c>
      <c r="O80" s="105">
        <v>0</v>
      </c>
      <c r="P80" s="105">
        <v>12</v>
      </c>
      <c r="Q80" s="105" t="s">
        <v>212</v>
      </c>
    </row>
  </sheetData>
  <sheetProtection formatRows="0" deleteRows="0" selectLockedCells="1"/>
  <mergeCells count="17">
    <mergeCell ref="Q4:Q5"/>
    <mergeCell ref="F1:Q1"/>
    <mergeCell ref="P4:P5"/>
    <mergeCell ref="F4:F5"/>
    <mergeCell ref="H4:H5"/>
    <mergeCell ref="I4:I5"/>
    <mergeCell ref="J4:K4"/>
    <mergeCell ref="L4:L5"/>
    <mergeCell ref="M4:M5"/>
    <mergeCell ref="N4:O4"/>
    <mergeCell ref="G4:G5"/>
    <mergeCell ref="A1:E1"/>
    <mergeCell ref="A4:A5"/>
    <mergeCell ref="B4:B5"/>
    <mergeCell ref="C4:C5"/>
    <mergeCell ref="D4:D5"/>
    <mergeCell ref="E4:E5"/>
  </mergeCells>
  <dataValidations count="5">
    <dataValidation type="list" allowBlank="1" showInputMessage="1" showErrorMessage="1" error="Select only from list" sqref="E7:E1048576">
      <formula1>"Yes,No,,,,,,,"</formula1>
    </dataValidation>
    <dataValidation type="list" allowBlank="1" showInputMessage="1" showErrorMessage="1" error="Select only from list" sqref="F7:F1048576">
      <formula1>"Un-electrified,Electrified through grid,Electrified through off-grid,Uninhabited,,,,,"</formula1>
    </dataValidation>
    <dataValidation type="list" allowBlank="1" showInputMessage="1" showErrorMessage="1" error="Select only from list" sqref="G7:G1048576">
      <formula1>"I,II,III,,,,,,"</formula1>
    </dataValidation>
    <dataValidation type="list" allowBlank="1" showInputMessage="1" showErrorMessage="1" error="Select only from list" sqref="H7:H1048576">
      <formula1>"SC/ST,Tribal,Forest,General,,,,,"</formula1>
    </dataValidation>
    <dataValidation type="list" allowBlank="1" showInputMessage="1" showErrorMessage="1" error="Select only from list" sqref="Q7:Q1048576">
      <formula1>"Grid,Off-Grid,,,,,,,"</formula1>
    </dataValidation>
  </dataValidations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O3000"/>
  <sheetViews>
    <sheetView workbookViewId="0">
      <selection activeCell="B2" sqref="B2"/>
    </sheetView>
  </sheetViews>
  <sheetFormatPr baseColWidth="10" defaultColWidth="8.83203125" defaultRowHeight="14" x14ac:dyDescent="0"/>
  <cols>
    <col min="1" max="1" width="7.1640625" customWidth="1"/>
    <col min="2" max="2" width="9.83203125" customWidth="1"/>
    <col min="3" max="5" width="8.83203125" style="17"/>
    <col min="6" max="6" width="11" customWidth="1"/>
    <col min="7" max="7" width="9.33203125" customWidth="1"/>
    <col min="8" max="8" width="16.6640625" customWidth="1"/>
    <col min="12" max="12" width="13.33203125" customWidth="1"/>
  </cols>
  <sheetData>
    <row r="1" spans="1:67">
      <c r="A1" t="s">
        <v>11</v>
      </c>
      <c r="AC1" t="s">
        <v>21</v>
      </c>
    </row>
    <row r="2" spans="1:67">
      <c r="AQ2" s="17"/>
      <c r="AR2" s="17"/>
      <c r="AS2" s="17"/>
      <c r="AT2" s="17"/>
      <c r="AV2" s="17"/>
      <c r="AW2" s="17"/>
      <c r="BM2" s="17"/>
      <c r="BN2" s="17"/>
      <c r="BO2" s="17"/>
    </row>
    <row r="5" spans="1:67">
      <c r="A5" s="1" t="s">
        <v>335</v>
      </c>
      <c r="B5" s="1">
        <v>1.3</v>
      </c>
    </row>
    <row r="3000" spans="1:1">
      <c r="A3000" t="s">
        <v>13</v>
      </c>
    </row>
  </sheetData>
  <sheetProtection password="D49C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4:AO9"/>
  <sheetViews>
    <sheetView topLeftCell="W1" workbookViewId="0">
      <selection activeCell="AP7" sqref="AP7"/>
    </sheetView>
  </sheetViews>
  <sheetFormatPr baseColWidth="10" defaultColWidth="8.83203125" defaultRowHeight="14" x14ac:dyDescent="0"/>
  <sheetData>
    <row r="4" spans="2:41" ht="20">
      <c r="B4" s="155"/>
      <c r="C4" s="155"/>
      <c r="D4" s="155"/>
      <c r="E4" s="155"/>
      <c r="F4" s="155"/>
      <c r="G4" s="156" t="s">
        <v>20</v>
      </c>
      <c r="H4" s="156"/>
      <c r="I4" s="156"/>
      <c r="J4" s="156"/>
      <c r="K4" s="157"/>
      <c r="L4" s="157"/>
      <c r="M4" s="157"/>
      <c r="N4" s="157"/>
      <c r="O4" s="157"/>
      <c r="P4" s="157"/>
      <c r="Q4" s="157"/>
      <c r="R4" s="2"/>
      <c r="S4" s="2"/>
      <c r="T4" s="2"/>
      <c r="U4" s="2"/>
      <c r="V4" s="2"/>
      <c r="W4" s="3"/>
      <c r="X4" s="4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41">
      <c r="B5" s="15" t="s">
        <v>7</v>
      </c>
      <c r="C5" s="129"/>
      <c r="D5" s="158"/>
      <c r="E5" s="159"/>
      <c r="F5" s="28"/>
      <c r="G5" s="30"/>
      <c r="H5" s="30"/>
      <c r="I5" s="30"/>
      <c r="J5" s="30"/>
      <c r="K5" s="160" t="s">
        <v>0</v>
      </c>
      <c r="L5" s="161"/>
      <c r="M5" s="161"/>
      <c r="N5" s="161"/>
      <c r="O5" s="161"/>
      <c r="P5" s="161"/>
      <c r="Q5" s="161"/>
      <c r="R5" s="161"/>
      <c r="S5" s="161"/>
      <c r="T5" s="162"/>
      <c r="U5" s="140" t="s">
        <v>23</v>
      </c>
      <c r="V5" s="141"/>
      <c r="W5" s="127" t="s">
        <v>53</v>
      </c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</row>
    <row r="6" spans="2:41" ht="60" customHeight="1">
      <c r="B6" s="16" t="s">
        <v>3</v>
      </c>
      <c r="C6" s="129"/>
      <c r="D6" s="130"/>
      <c r="E6" s="130"/>
      <c r="F6" s="29"/>
      <c r="G6" s="131" t="s">
        <v>1</v>
      </c>
      <c r="H6" s="132"/>
      <c r="I6" s="132"/>
      <c r="J6" s="133"/>
      <c r="K6" s="134" t="s">
        <v>29</v>
      </c>
      <c r="L6" s="135"/>
      <c r="M6" s="135"/>
      <c r="N6" s="136"/>
      <c r="O6" s="137" t="s">
        <v>16</v>
      </c>
      <c r="P6" s="138"/>
      <c r="Q6" s="138"/>
      <c r="R6" s="139"/>
      <c r="S6" s="31"/>
      <c r="T6" s="31"/>
      <c r="U6" s="163"/>
      <c r="V6" s="164"/>
      <c r="W6" s="150" t="s">
        <v>45</v>
      </c>
      <c r="X6" s="151"/>
      <c r="Y6" s="152"/>
      <c r="Z6" s="140" t="s">
        <v>46</v>
      </c>
      <c r="AA6" s="148"/>
      <c r="AB6" s="141"/>
      <c r="AC6" s="140" t="s">
        <v>50</v>
      </c>
      <c r="AD6" s="148"/>
      <c r="AE6" s="148"/>
      <c r="AF6" s="148"/>
      <c r="AG6" s="33" t="s">
        <v>56</v>
      </c>
      <c r="AH6" s="153" t="s">
        <v>41</v>
      </c>
      <c r="AI6" s="140" t="s">
        <v>42</v>
      </c>
      <c r="AJ6" s="141"/>
      <c r="AK6" s="144" t="s">
        <v>43</v>
      </c>
      <c r="AL6" s="145"/>
      <c r="AM6" s="140" t="s">
        <v>44</v>
      </c>
      <c r="AN6" s="148"/>
      <c r="AO6" s="141"/>
    </row>
    <row r="7" spans="2:41" ht="29" thickBot="1">
      <c r="B7" s="128" t="s">
        <v>17</v>
      </c>
      <c r="C7" s="165"/>
      <c r="D7" s="165"/>
      <c r="E7" s="165"/>
      <c r="F7" s="20" t="s">
        <v>18</v>
      </c>
      <c r="G7" s="131" t="s">
        <v>15</v>
      </c>
      <c r="H7" s="132"/>
      <c r="I7" s="132"/>
      <c r="J7" s="133"/>
      <c r="K7" s="166" t="s">
        <v>26</v>
      </c>
      <c r="L7" s="167"/>
      <c r="M7" s="166" t="s">
        <v>38</v>
      </c>
      <c r="N7" s="167"/>
      <c r="O7" s="168" t="s">
        <v>2</v>
      </c>
      <c r="P7" s="169"/>
      <c r="Q7" s="169"/>
      <c r="R7" s="170"/>
      <c r="S7" s="23"/>
      <c r="T7" s="24"/>
      <c r="U7" s="142"/>
      <c r="V7" s="143"/>
      <c r="W7" s="26" t="s">
        <v>39</v>
      </c>
      <c r="X7" s="146" t="s">
        <v>40</v>
      </c>
      <c r="Y7" s="147"/>
      <c r="Z7" s="32" t="s">
        <v>47</v>
      </c>
      <c r="AA7" s="32" t="s">
        <v>48</v>
      </c>
      <c r="AB7" s="32" t="s">
        <v>49</v>
      </c>
      <c r="AC7" s="32" t="s">
        <v>51</v>
      </c>
      <c r="AD7" s="32" t="s">
        <v>52</v>
      </c>
      <c r="AE7" s="32" t="s">
        <v>54</v>
      </c>
      <c r="AF7" s="32" t="s">
        <v>55</v>
      </c>
      <c r="AG7" s="32"/>
      <c r="AH7" s="154"/>
      <c r="AI7" s="142"/>
      <c r="AJ7" s="143"/>
      <c r="AK7" s="146"/>
      <c r="AL7" s="147"/>
      <c r="AM7" s="142"/>
      <c r="AN7" s="149"/>
      <c r="AO7" s="143"/>
    </row>
    <row r="8" spans="2:41" ht="100" thickTop="1" thickBot="1">
      <c r="B8" s="12" t="s">
        <v>10</v>
      </c>
      <c r="C8" s="12" t="s">
        <v>4</v>
      </c>
      <c r="D8" s="12" t="s">
        <v>5</v>
      </c>
      <c r="E8" s="12" t="s">
        <v>22</v>
      </c>
      <c r="F8" s="19" t="s">
        <v>14</v>
      </c>
      <c r="G8" s="21" t="s">
        <v>6</v>
      </c>
      <c r="H8" s="21" t="s">
        <v>8</v>
      </c>
      <c r="I8" s="21" t="s">
        <v>12</v>
      </c>
      <c r="J8" s="22" t="s">
        <v>9</v>
      </c>
      <c r="K8" s="25" t="s">
        <v>27</v>
      </c>
      <c r="L8" s="25" t="s">
        <v>28</v>
      </c>
      <c r="M8" s="25" t="s">
        <v>27</v>
      </c>
      <c r="N8" s="25" t="s">
        <v>28</v>
      </c>
      <c r="O8" s="13" t="s">
        <v>32</v>
      </c>
      <c r="P8" s="13" t="s">
        <v>33</v>
      </c>
      <c r="Q8" s="13" t="s">
        <v>32</v>
      </c>
      <c r="R8" s="13" t="s">
        <v>33</v>
      </c>
      <c r="S8" s="14" t="s">
        <v>30</v>
      </c>
      <c r="T8" s="14" t="s">
        <v>31</v>
      </c>
      <c r="U8" s="27" t="s">
        <v>24</v>
      </c>
      <c r="V8" s="27" t="s">
        <v>25</v>
      </c>
      <c r="W8" s="18" t="s">
        <v>34</v>
      </c>
      <c r="X8" s="18" t="s">
        <v>35</v>
      </c>
      <c r="Y8" s="18" t="s">
        <v>33</v>
      </c>
      <c r="Z8" s="18" t="s">
        <v>33</v>
      </c>
      <c r="AA8" s="18" t="s">
        <v>33</v>
      </c>
      <c r="AB8" s="18" t="s">
        <v>33</v>
      </c>
      <c r="AC8" s="18" t="s">
        <v>33</v>
      </c>
      <c r="AD8" s="18" t="s">
        <v>33</v>
      </c>
      <c r="AE8" s="18" t="s">
        <v>33</v>
      </c>
      <c r="AF8" s="18" t="s">
        <v>33</v>
      </c>
      <c r="AG8" s="18" t="s">
        <v>33</v>
      </c>
      <c r="AH8" s="18" t="s">
        <v>33</v>
      </c>
      <c r="AI8" s="18" t="s">
        <v>35</v>
      </c>
      <c r="AJ8" s="18" t="s">
        <v>36</v>
      </c>
      <c r="AK8" s="18" t="s">
        <v>35</v>
      </c>
      <c r="AL8" s="18" t="s">
        <v>36</v>
      </c>
      <c r="AM8" s="18" t="s">
        <v>34</v>
      </c>
      <c r="AN8" s="18" t="s">
        <v>37</v>
      </c>
      <c r="AO8" s="18" t="s">
        <v>33</v>
      </c>
    </row>
    <row r="9" spans="2:41" ht="21" thickTop="1">
      <c r="B9" s="6" t="s">
        <v>19</v>
      </c>
      <c r="C9" s="7"/>
      <c r="D9" s="7"/>
      <c r="E9" s="6"/>
      <c r="F9" s="7"/>
      <c r="G9" s="7"/>
      <c r="H9" s="7"/>
      <c r="I9" s="7"/>
      <c r="J9" s="8"/>
      <c r="K9" s="8"/>
      <c r="L9" s="8"/>
      <c r="M9" s="7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</sheetData>
  <mergeCells count="23">
    <mergeCell ref="B4:F4"/>
    <mergeCell ref="G4:Q4"/>
    <mergeCell ref="C5:E5"/>
    <mergeCell ref="K5:T5"/>
    <mergeCell ref="U5:V7"/>
    <mergeCell ref="B7:E7"/>
    <mergeCell ref="G7:J7"/>
    <mergeCell ref="K7:L7"/>
    <mergeCell ref="M7:N7"/>
    <mergeCell ref="O7:R7"/>
    <mergeCell ref="W5:AO5"/>
    <mergeCell ref="C6:E6"/>
    <mergeCell ref="G6:J6"/>
    <mergeCell ref="K6:N6"/>
    <mergeCell ref="O6:R6"/>
    <mergeCell ref="AI6:AJ7"/>
    <mergeCell ref="AK6:AL7"/>
    <mergeCell ref="AM6:AO7"/>
    <mergeCell ref="X7:Y7"/>
    <mergeCell ref="Z6:AB6"/>
    <mergeCell ref="AC6:AF6"/>
    <mergeCell ref="W6:Y6"/>
    <mergeCell ref="AH6:AH7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N32"/>
  <sheetViews>
    <sheetView topLeftCell="G1" workbookViewId="0">
      <selection activeCell="M4" sqref="M4"/>
    </sheetView>
  </sheetViews>
  <sheetFormatPr baseColWidth="10" defaultColWidth="8.83203125" defaultRowHeight="14" x14ac:dyDescent="0"/>
  <cols>
    <col min="1" max="7" width="27.5" customWidth="1"/>
    <col min="8" max="8" width="21.6640625" bestFit="1" customWidth="1"/>
    <col min="9" max="9" width="22" customWidth="1"/>
    <col min="10" max="10" width="22.33203125" customWidth="1"/>
    <col min="11" max="13" width="24" bestFit="1" customWidth="1"/>
    <col min="14" max="14" width="22.1640625" customWidth="1"/>
    <col min="15" max="15" width="24" bestFit="1" customWidth="1"/>
    <col min="16" max="16" width="18.5" bestFit="1" customWidth="1"/>
    <col min="17" max="17" width="24" bestFit="1" customWidth="1"/>
    <col min="18" max="18" width="18.33203125" bestFit="1" customWidth="1"/>
    <col min="19" max="19" width="19.83203125" customWidth="1"/>
    <col min="20" max="20" width="18.5" bestFit="1" customWidth="1"/>
    <col min="21" max="21" width="18.33203125" bestFit="1" customWidth="1"/>
    <col min="43" max="43" width="28.83203125" bestFit="1" customWidth="1"/>
    <col min="52" max="52" width="28.5" bestFit="1" customWidth="1"/>
    <col min="67" max="67" width="23.83203125" bestFit="1" customWidth="1"/>
    <col min="70" max="70" width="27.5" bestFit="1" customWidth="1"/>
    <col min="79" max="79" width="27.33203125" bestFit="1" customWidth="1"/>
    <col min="97" max="97" width="14.5" bestFit="1" customWidth="1"/>
    <col min="98" max="98" width="13.33203125" bestFit="1" customWidth="1"/>
    <col min="107" max="107" width="14.33203125" bestFit="1" customWidth="1"/>
    <col min="108" max="108" width="13.5" bestFit="1" customWidth="1"/>
  </cols>
  <sheetData>
    <row r="1" spans="1:118" ht="20">
      <c r="A1" s="171" t="s">
        <v>17</v>
      </c>
      <c r="B1" s="171"/>
      <c r="C1" s="171"/>
      <c r="D1" s="171"/>
      <c r="E1" s="171"/>
      <c r="F1" s="171"/>
      <c r="G1" s="171"/>
    </row>
    <row r="2" spans="1:118" ht="92.25" customHeight="1">
      <c r="A2" s="67" t="s">
        <v>10</v>
      </c>
      <c r="B2" s="68" t="s">
        <v>4</v>
      </c>
      <c r="C2" s="68" t="s">
        <v>5</v>
      </c>
      <c r="D2" s="69" t="s">
        <v>14</v>
      </c>
      <c r="E2" s="67" t="s">
        <v>22</v>
      </c>
      <c r="F2" s="67" t="s">
        <v>216</v>
      </c>
      <c r="G2" s="67" t="s">
        <v>223</v>
      </c>
      <c r="H2" s="67" t="s">
        <v>217</v>
      </c>
      <c r="I2" s="67" t="s">
        <v>218</v>
      </c>
      <c r="J2" s="93" t="s">
        <v>220</v>
      </c>
      <c r="K2" s="93" t="s">
        <v>221</v>
      </c>
      <c r="L2" s="69" t="s">
        <v>139</v>
      </c>
      <c r="M2" s="69" t="s">
        <v>136</v>
      </c>
      <c r="N2" s="93" t="s">
        <v>152</v>
      </c>
      <c r="O2" s="93" t="s">
        <v>222</v>
      </c>
      <c r="P2" s="69" t="s">
        <v>138</v>
      </c>
      <c r="Q2" s="69" t="s">
        <v>210</v>
      </c>
      <c r="BM2" s="17"/>
      <c r="BN2" s="17"/>
      <c r="BO2" s="17"/>
    </row>
    <row r="3" spans="1:118">
      <c r="E3" t="s">
        <v>153</v>
      </c>
      <c r="F3" t="s">
        <v>143</v>
      </c>
      <c r="G3" t="s">
        <v>228</v>
      </c>
      <c r="H3" t="s">
        <v>144</v>
      </c>
      <c r="I3">
        <v>4</v>
      </c>
      <c r="J3">
        <v>4</v>
      </c>
      <c r="K3">
        <v>4</v>
      </c>
      <c r="L3" t="s">
        <v>229</v>
      </c>
      <c r="M3">
        <v>4</v>
      </c>
      <c r="N3">
        <v>4</v>
      </c>
      <c r="O3">
        <v>4</v>
      </c>
      <c r="P3" t="s">
        <v>230</v>
      </c>
      <c r="Q3" t="s">
        <v>214</v>
      </c>
    </row>
    <row r="4" spans="1:118">
      <c r="A4">
        <v>1</v>
      </c>
      <c r="B4">
        <f>A4+1</f>
        <v>2</v>
      </c>
      <c r="C4">
        <f t="shared" ref="C4:E4" si="0">B4+1</f>
        <v>3</v>
      </c>
      <c r="D4">
        <f t="shared" si="0"/>
        <v>4</v>
      </c>
      <c r="E4">
        <f t="shared" si="0"/>
        <v>5</v>
      </c>
      <c r="F4">
        <f t="shared" ref="F4" si="1">E4+1</f>
        <v>6</v>
      </c>
      <c r="G4">
        <f t="shared" ref="G4" si="2">F4+1</f>
        <v>7</v>
      </c>
      <c r="H4">
        <f t="shared" ref="H4" si="3">G4+1</f>
        <v>8</v>
      </c>
      <c r="I4">
        <f t="shared" ref="I4" si="4">H4+1</f>
        <v>9</v>
      </c>
      <c r="J4">
        <f t="shared" ref="J4" si="5">I4+1</f>
        <v>10</v>
      </c>
      <c r="K4">
        <f t="shared" ref="K4" si="6">J4+1</f>
        <v>11</v>
      </c>
      <c r="L4">
        <f t="shared" ref="L4" si="7">K4+1</f>
        <v>12</v>
      </c>
      <c r="M4">
        <f t="shared" ref="M4" si="8">L4+1</f>
        <v>13</v>
      </c>
      <c r="N4">
        <f t="shared" ref="N4" si="9">M4+1</f>
        <v>14</v>
      </c>
      <c r="O4">
        <f t="shared" ref="O4" si="10">N4+1</f>
        <v>15</v>
      </c>
      <c r="P4">
        <f t="shared" ref="P4" si="11">O4+1</f>
        <v>16</v>
      </c>
      <c r="Q4">
        <f t="shared" ref="Q4" si="12">P4+1</f>
        <v>17</v>
      </c>
    </row>
    <row r="7" spans="1:118" ht="20">
      <c r="A7" s="172" t="s">
        <v>17</v>
      </c>
      <c r="B7" s="173"/>
      <c r="C7" s="173"/>
      <c r="D7" s="173"/>
      <c r="E7" s="184" t="s">
        <v>59</v>
      </c>
      <c r="F7" s="185"/>
      <c r="G7" s="185"/>
      <c r="H7" s="185"/>
      <c r="I7" s="186"/>
      <c r="J7" s="187" t="s">
        <v>60</v>
      </c>
      <c r="K7" s="187"/>
      <c r="L7" s="187" t="s">
        <v>161</v>
      </c>
      <c r="M7" s="187"/>
      <c r="N7" s="187"/>
      <c r="O7" s="187"/>
      <c r="P7" s="187"/>
      <c r="Q7" s="187"/>
    </row>
    <row r="8" spans="1:118" ht="28">
      <c r="A8" s="62" t="s">
        <v>10</v>
      </c>
      <c r="B8" s="61" t="s">
        <v>4</v>
      </c>
      <c r="C8" s="61" t="s">
        <v>5</v>
      </c>
      <c r="D8" s="62" t="s">
        <v>14</v>
      </c>
      <c r="E8" s="62" t="s">
        <v>61</v>
      </c>
      <c r="F8" s="62" t="s">
        <v>62</v>
      </c>
      <c r="G8" s="62" t="s">
        <v>63</v>
      </c>
      <c r="H8" s="62" t="s">
        <v>154</v>
      </c>
      <c r="I8" s="62" t="s">
        <v>155</v>
      </c>
      <c r="J8" s="62" t="s">
        <v>65</v>
      </c>
      <c r="K8" s="62" t="s">
        <v>64</v>
      </c>
      <c r="L8" s="62" t="s">
        <v>156</v>
      </c>
      <c r="M8" s="62" t="s">
        <v>157</v>
      </c>
      <c r="N8" s="62" t="s">
        <v>158</v>
      </c>
      <c r="O8" s="62" t="s">
        <v>159</v>
      </c>
      <c r="P8" s="62" t="s">
        <v>160</v>
      </c>
      <c r="Q8" s="62" t="s">
        <v>19</v>
      </c>
    </row>
    <row r="9" spans="1:118">
      <c r="E9">
        <v>3</v>
      </c>
      <c r="F9">
        <v>3</v>
      </c>
      <c r="G9">
        <v>3</v>
      </c>
      <c r="H9">
        <v>3</v>
      </c>
      <c r="I9">
        <v>3</v>
      </c>
      <c r="J9">
        <v>4</v>
      </c>
      <c r="K9">
        <v>4</v>
      </c>
      <c r="L9">
        <v>3</v>
      </c>
      <c r="M9">
        <v>3</v>
      </c>
      <c r="N9">
        <v>3</v>
      </c>
      <c r="O9">
        <v>3</v>
      </c>
      <c r="P9">
        <v>3</v>
      </c>
      <c r="Q9" t="s">
        <v>162</v>
      </c>
    </row>
    <row r="10" spans="1:118">
      <c r="A10">
        <v>1</v>
      </c>
      <c r="B10">
        <f>A10+1</f>
        <v>2</v>
      </c>
      <c r="C10">
        <f t="shared" ref="C10:I10" si="13">B10+1</f>
        <v>3</v>
      </c>
      <c r="D10">
        <f t="shared" si="13"/>
        <v>4</v>
      </c>
      <c r="E10">
        <f t="shared" si="13"/>
        <v>5</v>
      </c>
      <c r="F10">
        <f t="shared" si="13"/>
        <v>6</v>
      </c>
      <c r="G10">
        <f t="shared" si="13"/>
        <v>7</v>
      </c>
      <c r="H10">
        <f t="shared" si="13"/>
        <v>8</v>
      </c>
      <c r="I10">
        <f t="shared" si="13"/>
        <v>9</v>
      </c>
      <c r="J10">
        <f t="shared" ref="J10" si="14">I10+1</f>
        <v>10</v>
      </c>
      <c r="K10">
        <f t="shared" ref="K10" si="15">J10+1</f>
        <v>11</v>
      </c>
      <c r="L10">
        <f t="shared" ref="L10" si="16">K10+1</f>
        <v>12</v>
      </c>
      <c r="M10">
        <f t="shared" ref="M10" si="17">L10+1</f>
        <v>13</v>
      </c>
      <c r="N10">
        <f t="shared" ref="N10" si="18">M10+1</f>
        <v>14</v>
      </c>
      <c r="O10">
        <f t="shared" ref="O10" si="19">N10+1</f>
        <v>15</v>
      </c>
      <c r="P10">
        <f t="shared" ref="P10" si="20">O10+1</f>
        <v>16</v>
      </c>
      <c r="Q10">
        <f t="shared" ref="Q10" si="21">P10+1</f>
        <v>17</v>
      </c>
    </row>
    <row r="13" spans="1:118" ht="20">
      <c r="A13" s="38" t="s">
        <v>3</v>
      </c>
      <c r="B13" s="58"/>
      <c r="C13" s="59"/>
      <c r="D13" s="41"/>
      <c r="E13" s="174" t="s">
        <v>66</v>
      </c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6" t="s">
        <v>67</v>
      </c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 t="s">
        <v>68</v>
      </c>
      <c r="AJ13" s="176"/>
      <c r="AK13" s="176"/>
      <c r="AL13" s="176"/>
      <c r="AM13" s="176"/>
      <c r="AN13" s="176"/>
      <c r="AO13" s="176"/>
      <c r="AP13" s="176"/>
      <c r="AQ13" s="176"/>
      <c r="AR13" s="176"/>
      <c r="AS13" s="176"/>
      <c r="AT13" s="176"/>
      <c r="AU13" s="176"/>
      <c r="AV13" s="176"/>
      <c r="AW13" s="176"/>
      <c r="AX13" s="176"/>
      <c r="AY13" s="176"/>
      <c r="AZ13" s="176"/>
      <c r="BA13" s="176"/>
      <c r="BB13" s="176"/>
      <c r="BC13" s="176"/>
      <c r="BD13" s="176"/>
      <c r="BE13" s="176"/>
      <c r="BF13" s="176"/>
      <c r="BG13" s="176"/>
      <c r="BH13" s="176"/>
      <c r="BI13" s="176"/>
      <c r="BJ13" s="76"/>
      <c r="BK13" s="176" t="s">
        <v>69</v>
      </c>
      <c r="BL13" s="176"/>
      <c r="BM13" s="176"/>
      <c r="BN13" s="176"/>
      <c r="BO13" s="176"/>
      <c r="BP13" s="176"/>
      <c r="BQ13" s="176"/>
      <c r="BR13" s="176"/>
      <c r="BS13" s="176"/>
      <c r="BT13" s="176"/>
      <c r="BU13" s="176"/>
      <c r="BV13" s="176"/>
      <c r="BW13" s="176"/>
      <c r="BX13" s="176"/>
      <c r="BY13" s="176"/>
      <c r="BZ13" s="176"/>
      <c r="CA13" s="176"/>
      <c r="CB13" s="176"/>
      <c r="CC13" s="176"/>
      <c r="CD13" s="176"/>
      <c r="CE13" s="176"/>
      <c r="CF13" s="176"/>
      <c r="CG13" s="176"/>
      <c r="CH13" s="176"/>
      <c r="CI13" s="176"/>
      <c r="CJ13" s="176"/>
      <c r="CK13" s="216" t="s">
        <v>70</v>
      </c>
      <c r="CL13" s="216"/>
      <c r="CM13" s="216"/>
      <c r="CN13" s="175"/>
      <c r="CO13" s="175"/>
      <c r="CP13" s="175"/>
      <c r="CQ13" s="175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5"/>
      <c r="DK13" s="175"/>
      <c r="DL13" s="175"/>
      <c r="DM13" s="175"/>
      <c r="DN13" s="175"/>
    </row>
    <row r="14" spans="1:118" ht="21" customHeight="1">
      <c r="A14" s="172" t="s">
        <v>17</v>
      </c>
      <c r="B14" s="173"/>
      <c r="C14" s="173"/>
      <c r="D14" s="173"/>
      <c r="E14" s="177" t="s">
        <v>71</v>
      </c>
      <c r="F14" s="177"/>
      <c r="G14" s="177"/>
      <c r="H14" s="177"/>
      <c r="I14" s="177"/>
      <c r="J14" s="178" t="s">
        <v>72</v>
      </c>
      <c r="K14" s="178"/>
      <c r="L14" s="178"/>
      <c r="M14" s="178"/>
      <c r="N14" s="178"/>
      <c r="O14" s="179" t="s">
        <v>130</v>
      </c>
      <c r="P14" s="179"/>
      <c r="Q14" s="179"/>
      <c r="R14" s="179"/>
      <c r="S14" s="179"/>
      <c r="T14" s="180" t="s">
        <v>73</v>
      </c>
      <c r="U14" s="180"/>
      <c r="V14" s="180"/>
      <c r="W14" s="180"/>
      <c r="X14" s="180"/>
      <c r="Y14" s="181" t="s">
        <v>74</v>
      </c>
      <c r="Z14" s="181"/>
      <c r="AA14" s="181"/>
      <c r="AB14" s="181"/>
      <c r="AC14" s="181"/>
      <c r="AD14" s="182" t="s">
        <v>131</v>
      </c>
      <c r="AE14" s="182"/>
      <c r="AF14" s="182"/>
      <c r="AG14" s="182"/>
      <c r="AH14" s="183"/>
      <c r="AI14" s="217" t="s">
        <v>75</v>
      </c>
      <c r="AJ14" s="217"/>
      <c r="AK14" s="217"/>
      <c r="AL14" s="217"/>
      <c r="AM14" s="217"/>
      <c r="AN14" s="217"/>
      <c r="AO14" s="217"/>
      <c r="AP14" s="217"/>
      <c r="AQ14" s="217"/>
      <c r="AR14" s="218" t="s">
        <v>76</v>
      </c>
      <c r="AS14" s="218"/>
      <c r="AT14" s="218"/>
      <c r="AU14" s="218"/>
      <c r="AV14" s="218"/>
      <c r="AW14" s="218"/>
      <c r="AX14" s="218"/>
      <c r="AY14" s="218"/>
      <c r="AZ14" s="218"/>
      <c r="BA14" s="211" t="s">
        <v>132</v>
      </c>
      <c r="BB14" s="211"/>
      <c r="BC14" s="211"/>
      <c r="BD14" s="211"/>
      <c r="BE14" s="211"/>
      <c r="BF14" s="211"/>
      <c r="BG14" s="211"/>
      <c r="BH14" s="211"/>
      <c r="BI14" s="211"/>
      <c r="BJ14" s="206" t="s">
        <v>77</v>
      </c>
      <c r="BK14" s="219"/>
      <c r="BL14" s="219"/>
      <c r="BM14" s="219"/>
      <c r="BN14" s="219"/>
      <c r="BO14" s="219"/>
      <c r="BP14" s="219"/>
      <c r="BQ14" s="219"/>
      <c r="BR14" s="207"/>
      <c r="BS14" s="208" t="s">
        <v>78</v>
      </c>
      <c r="BT14" s="220"/>
      <c r="BU14" s="220"/>
      <c r="BV14" s="220"/>
      <c r="BW14" s="220"/>
      <c r="BX14" s="220"/>
      <c r="BY14" s="220"/>
      <c r="BZ14" s="220"/>
      <c r="CA14" s="209"/>
      <c r="CB14" s="214" t="s">
        <v>133</v>
      </c>
      <c r="CC14" s="221"/>
      <c r="CD14" s="221"/>
      <c r="CE14" s="221"/>
      <c r="CF14" s="221"/>
      <c r="CG14" s="221"/>
      <c r="CH14" s="221"/>
      <c r="CI14" s="221"/>
      <c r="CJ14" s="215"/>
      <c r="CK14" s="222" t="s">
        <v>79</v>
      </c>
      <c r="CL14" s="222"/>
      <c r="CM14" s="222"/>
      <c r="CN14" s="222"/>
      <c r="CO14" s="222"/>
      <c r="CP14" s="222"/>
      <c r="CQ14" s="222"/>
      <c r="CR14" s="222"/>
      <c r="CS14" s="222"/>
      <c r="CT14" s="222"/>
      <c r="CU14" s="223" t="s">
        <v>80</v>
      </c>
      <c r="CV14" s="223"/>
      <c r="CW14" s="223"/>
      <c r="CX14" s="223"/>
      <c r="CY14" s="223"/>
      <c r="CZ14" s="223"/>
      <c r="DA14" s="223"/>
      <c r="DB14" s="223"/>
      <c r="DC14" s="223"/>
      <c r="DD14" s="223"/>
      <c r="DE14" s="224" t="s">
        <v>134</v>
      </c>
      <c r="DF14" s="224"/>
      <c r="DG14" s="224"/>
      <c r="DH14" s="224"/>
      <c r="DI14" s="224"/>
      <c r="DJ14" s="224"/>
      <c r="DK14" s="224"/>
      <c r="DL14" s="224"/>
      <c r="DM14" s="224"/>
      <c r="DN14" s="224"/>
    </row>
    <row r="15" spans="1:118" ht="15" customHeight="1">
      <c r="A15" s="194" t="s">
        <v>10</v>
      </c>
      <c r="B15" s="196" t="s">
        <v>4</v>
      </c>
      <c r="C15" s="196" t="s">
        <v>5</v>
      </c>
      <c r="D15" s="125" t="s">
        <v>14</v>
      </c>
      <c r="E15" s="190" t="s">
        <v>81</v>
      </c>
      <c r="F15" s="190" t="s">
        <v>129</v>
      </c>
      <c r="G15" s="190" t="s">
        <v>58</v>
      </c>
      <c r="H15" s="190" t="s">
        <v>82</v>
      </c>
      <c r="I15" s="190" t="s">
        <v>83</v>
      </c>
      <c r="J15" s="192" t="s">
        <v>81</v>
      </c>
      <c r="K15" s="192" t="s">
        <v>129</v>
      </c>
      <c r="L15" s="192" t="s">
        <v>58</v>
      </c>
      <c r="M15" s="192" t="s">
        <v>82</v>
      </c>
      <c r="N15" s="192" t="s">
        <v>83</v>
      </c>
      <c r="O15" s="188" t="s">
        <v>81</v>
      </c>
      <c r="P15" s="188" t="s">
        <v>129</v>
      </c>
      <c r="Q15" s="188" t="s">
        <v>58</v>
      </c>
      <c r="R15" s="188" t="s">
        <v>82</v>
      </c>
      <c r="S15" s="188" t="s">
        <v>83</v>
      </c>
      <c r="T15" s="202" t="s">
        <v>81</v>
      </c>
      <c r="U15" s="202" t="s">
        <v>129</v>
      </c>
      <c r="V15" s="202" t="s">
        <v>58</v>
      </c>
      <c r="W15" s="202" t="s">
        <v>82</v>
      </c>
      <c r="X15" s="202" t="s">
        <v>83</v>
      </c>
      <c r="Y15" s="198" t="s">
        <v>81</v>
      </c>
      <c r="Z15" s="198" t="s">
        <v>129</v>
      </c>
      <c r="AA15" s="198" t="s">
        <v>58</v>
      </c>
      <c r="AB15" s="198" t="s">
        <v>82</v>
      </c>
      <c r="AC15" s="198" t="s">
        <v>83</v>
      </c>
      <c r="AD15" s="200" t="s">
        <v>81</v>
      </c>
      <c r="AE15" s="200" t="s">
        <v>129</v>
      </c>
      <c r="AF15" s="200" t="s">
        <v>58</v>
      </c>
      <c r="AG15" s="200" t="s">
        <v>82</v>
      </c>
      <c r="AH15" s="204" t="s">
        <v>83</v>
      </c>
      <c r="AI15" s="210" t="s">
        <v>81</v>
      </c>
      <c r="AJ15" s="210"/>
      <c r="AK15" s="206" t="s">
        <v>129</v>
      </c>
      <c r="AL15" s="207"/>
      <c r="AM15" s="206" t="s">
        <v>58</v>
      </c>
      <c r="AN15" s="207"/>
      <c r="AO15" s="206" t="s">
        <v>82</v>
      </c>
      <c r="AP15" s="207"/>
      <c r="AQ15" s="210" t="s">
        <v>83</v>
      </c>
      <c r="AR15" s="208" t="s">
        <v>81</v>
      </c>
      <c r="AS15" s="209"/>
      <c r="AT15" s="208" t="s">
        <v>129</v>
      </c>
      <c r="AU15" s="209"/>
      <c r="AV15" s="208" t="s">
        <v>58</v>
      </c>
      <c r="AW15" s="209"/>
      <c r="AX15" s="208" t="s">
        <v>82</v>
      </c>
      <c r="AY15" s="209"/>
      <c r="AZ15" s="212" t="s">
        <v>83</v>
      </c>
      <c r="BA15" s="214" t="s">
        <v>81</v>
      </c>
      <c r="BB15" s="215"/>
      <c r="BC15" s="214" t="s">
        <v>129</v>
      </c>
      <c r="BD15" s="215"/>
      <c r="BE15" s="214" t="s">
        <v>58</v>
      </c>
      <c r="BF15" s="215"/>
      <c r="BG15" s="214" t="s">
        <v>82</v>
      </c>
      <c r="BH15" s="215"/>
      <c r="BI15" s="211" t="s">
        <v>83</v>
      </c>
      <c r="BJ15" s="219" t="s">
        <v>81</v>
      </c>
      <c r="BK15" s="207"/>
      <c r="BL15" s="206" t="s">
        <v>129</v>
      </c>
      <c r="BM15" s="207"/>
      <c r="BN15" s="206" t="s">
        <v>58</v>
      </c>
      <c r="BO15" s="207"/>
      <c r="BP15" s="206" t="s">
        <v>82</v>
      </c>
      <c r="BQ15" s="207"/>
      <c r="BR15" s="225" t="s">
        <v>83</v>
      </c>
      <c r="BS15" s="208" t="s">
        <v>81</v>
      </c>
      <c r="BT15" s="209"/>
      <c r="BU15" s="208" t="s">
        <v>129</v>
      </c>
      <c r="BV15" s="209"/>
      <c r="BW15" s="208" t="s">
        <v>58</v>
      </c>
      <c r="BX15" s="209"/>
      <c r="BY15" s="208" t="s">
        <v>82</v>
      </c>
      <c r="BZ15" s="209"/>
      <c r="CA15" s="77" t="s">
        <v>83</v>
      </c>
      <c r="CB15" s="214" t="s">
        <v>81</v>
      </c>
      <c r="CC15" s="215"/>
      <c r="CD15" s="214" t="s">
        <v>129</v>
      </c>
      <c r="CE15" s="215"/>
      <c r="CF15" s="214" t="s">
        <v>58</v>
      </c>
      <c r="CG15" s="215"/>
      <c r="CH15" s="214" t="s">
        <v>82</v>
      </c>
      <c r="CI15" s="215"/>
      <c r="CJ15" s="78" t="s">
        <v>83</v>
      </c>
      <c r="CK15" s="79" t="s">
        <v>81</v>
      </c>
      <c r="CL15" s="80"/>
      <c r="CM15" s="79" t="s">
        <v>129</v>
      </c>
      <c r="CN15" s="80"/>
      <c r="CO15" s="79" t="s">
        <v>58</v>
      </c>
      <c r="CP15" s="80"/>
      <c r="CQ15" s="79" t="s">
        <v>82</v>
      </c>
      <c r="CR15" s="80"/>
      <c r="CS15" s="79" t="s">
        <v>83</v>
      </c>
      <c r="CT15" s="80"/>
      <c r="CU15" s="81" t="s">
        <v>81</v>
      </c>
      <c r="CV15" s="82"/>
      <c r="CW15" s="81" t="s">
        <v>129</v>
      </c>
      <c r="CX15" s="82"/>
      <c r="CY15" s="81" t="s">
        <v>58</v>
      </c>
      <c r="CZ15" s="82"/>
      <c r="DA15" s="81" t="s">
        <v>82</v>
      </c>
      <c r="DB15" s="82"/>
      <c r="DC15" s="81" t="s">
        <v>83</v>
      </c>
      <c r="DD15" s="82"/>
      <c r="DE15" s="83" t="s">
        <v>81</v>
      </c>
      <c r="DF15" s="84"/>
      <c r="DG15" s="83" t="s">
        <v>129</v>
      </c>
      <c r="DH15" s="84"/>
      <c r="DI15" s="83" t="s">
        <v>58</v>
      </c>
      <c r="DJ15" s="84"/>
      <c r="DK15" s="83" t="s">
        <v>82</v>
      </c>
      <c r="DL15" s="84"/>
      <c r="DM15" s="83" t="s">
        <v>83</v>
      </c>
      <c r="DN15" s="84"/>
    </row>
    <row r="16" spans="1:118" ht="42">
      <c r="A16" s="195"/>
      <c r="B16" s="197"/>
      <c r="C16" s="197"/>
      <c r="D16" s="126"/>
      <c r="E16" s="191"/>
      <c r="F16" s="191"/>
      <c r="G16" s="191"/>
      <c r="H16" s="191"/>
      <c r="I16" s="191"/>
      <c r="J16" s="193"/>
      <c r="K16" s="193"/>
      <c r="L16" s="193"/>
      <c r="M16" s="193"/>
      <c r="N16" s="193"/>
      <c r="O16" s="189"/>
      <c r="P16" s="189"/>
      <c r="Q16" s="189"/>
      <c r="R16" s="189"/>
      <c r="S16" s="189"/>
      <c r="T16" s="203"/>
      <c r="U16" s="203"/>
      <c r="V16" s="203"/>
      <c r="W16" s="203"/>
      <c r="X16" s="203"/>
      <c r="Y16" s="199"/>
      <c r="Z16" s="199"/>
      <c r="AA16" s="199"/>
      <c r="AB16" s="199"/>
      <c r="AC16" s="199"/>
      <c r="AD16" s="201"/>
      <c r="AE16" s="201"/>
      <c r="AF16" s="201"/>
      <c r="AG16" s="201"/>
      <c r="AH16" s="205"/>
      <c r="AI16" s="75" t="s">
        <v>163</v>
      </c>
      <c r="AJ16" s="75" t="s">
        <v>164</v>
      </c>
      <c r="AK16" s="75" t="s">
        <v>163</v>
      </c>
      <c r="AL16" s="75" t="s">
        <v>164</v>
      </c>
      <c r="AM16" s="75" t="s">
        <v>163</v>
      </c>
      <c r="AN16" s="75" t="s">
        <v>164</v>
      </c>
      <c r="AO16" s="75" t="s">
        <v>163</v>
      </c>
      <c r="AP16" s="75" t="s">
        <v>164</v>
      </c>
      <c r="AQ16" s="210"/>
      <c r="AR16" s="74" t="s">
        <v>163</v>
      </c>
      <c r="AS16" s="74" t="s">
        <v>164</v>
      </c>
      <c r="AT16" s="74" t="s">
        <v>163</v>
      </c>
      <c r="AU16" s="74" t="s">
        <v>164</v>
      </c>
      <c r="AV16" s="74" t="s">
        <v>163</v>
      </c>
      <c r="AW16" s="74" t="s">
        <v>164</v>
      </c>
      <c r="AX16" s="74" t="s">
        <v>163</v>
      </c>
      <c r="AY16" s="74" t="s">
        <v>164</v>
      </c>
      <c r="AZ16" s="213"/>
      <c r="BA16" s="73" t="s">
        <v>163</v>
      </c>
      <c r="BB16" s="73" t="s">
        <v>164</v>
      </c>
      <c r="BC16" s="73" t="s">
        <v>163</v>
      </c>
      <c r="BD16" s="73" t="s">
        <v>164</v>
      </c>
      <c r="BE16" s="73" t="s">
        <v>163</v>
      </c>
      <c r="BF16" s="73" t="s">
        <v>164</v>
      </c>
      <c r="BG16" s="73" t="s">
        <v>163</v>
      </c>
      <c r="BH16" s="73" t="s">
        <v>164</v>
      </c>
      <c r="BI16" s="211"/>
      <c r="BJ16" s="75" t="s">
        <v>163</v>
      </c>
      <c r="BK16" s="75" t="s">
        <v>164</v>
      </c>
      <c r="BL16" s="75" t="s">
        <v>163</v>
      </c>
      <c r="BM16" s="75" t="s">
        <v>164</v>
      </c>
      <c r="BN16" s="75" t="s">
        <v>163</v>
      </c>
      <c r="BO16" s="75" t="s">
        <v>164</v>
      </c>
      <c r="BP16" s="75" t="s">
        <v>163</v>
      </c>
      <c r="BQ16" s="75" t="s">
        <v>164</v>
      </c>
      <c r="BR16" s="217"/>
      <c r="BS16" s="74" t="s">
        <v>163</v>
      </c>
      <c r="BT16" s="74" t="s">
        <v>164</v>
      </c>
      <c r="BU16" s="74" t="s">
        <v>163</v>
      </c>
      <c r="BV16" s="74" t="s">
        <v>164</v>
      </c>
      <c r="BW16" s="74" t="s">
        <v>163</v>
      </c>
      <c r="BX16" s="74" t="s">
        <v>164</v>
      </c>
      <c r="BY16" s="74" t="s">
        <v>163</v>
      </c>
      <c r="BZ16" s="74" t="s">
        <v>164</v>
      </c>
      <c r="CA16" s="85"/>
      <c r="CB16" s="73" t="s">
        <v>163</v>
      </c>
      <c r="CC16" s="73" t="s">
        <v>164</v>
      </c>
      <c r="CD16" s="73" t="s">
        <v>163</v>
      </c>
      <c r="CE16" s="73" t="s">
        <v>164</v>
      </c>
      <c r="CF16" s="73" t="s">
        <v>163</v>
      </c>
      <c r="CG16" s="73" t="s">
        <v>164</v>
      </c>
      <c r="CH16" s="73" t="s">
        <v>163</v>
      </c>
      <c r="CI16" s="73" t="s">
        <v>164</v>
      </c>
      <c r="CJ16" s="86"/>
      <c r="CK16" s="72" t="s">
        <v>84</v>
      </c>
      <c r="CL16" s="72" t="s">
        <v>2</v>
      </c>
      <c r="CM16" s="72" t="s">
        <v>84</v>
      </c>
      <c r="CN16" s="72" t="s">
        <v>2</v>
      </c>
      <c r="CO16" s="72" t="s">
        <v>84</v>
      </c>
      <c r="CP16" s="72" t="s">
        <v>2</v>
      </c>
      <c r="CQ16" s="72" t="s">
        <v>84</v>
      </c>
      <c r="CR16" s="72" t="s">
        <v>2</v>
      </c>
      <c r="CS16" s="72" t="s">
        <v>84</v>
      </c>
      <c r="CT16" s="72" t="s">
        <v>2</v>
      </c>
      <c r="CU16" s="71" t="s">
        <v>84</v>
      </c>
      <c r="CV16" s="71" t="s">
        <v>2</v>
      </c>
      <c r="CW16" s="71" t="s">
        <v>84</v>
      </c>
      <c r="CX16" s="71" t="s">
        <v>2</v>
      </c>
      <c r="CY16" s="71" t="s">
        <v>84</v>
      </c>
      <c r="CZ16" s="71" t="s">
        <v>2</v>
      </c>
      <c r="DA16" s="71" t="s">
        <v>84</v>
      </c>
      <c r="DB16" s="71" t="s">
        <v>2</v>
      </c>
      <c r="DC16" s="71" t="s">
        <v>84</v>
      </c>
      <c r="DD16" s="71" t="s">
        <v>2</v>
      </c>
      <c r="DE16" s="70" t="s">
        <v>84</v>
      </c>
      <c r="DF16" s="70" t="s">
        <v>2</v>
      </c>
      <c r="DG16" s="70" t="s">
        <v>84</v>
      </c>
      <c r="DH16" s="70" t="s">
        <v>2</v>
      </c>
      <c r="DI16" s="70" t="s">
        <v>84</v>
      </c>
      <c r="DJ16" s="70" t="s">
        <v>2</v>
      </c>
      <c r="DK16" s="70" t="s">
        <v>84</v>
      </c>
      <c r="DL16" s="70" t="s">
        <v>2</v>
      </c>
      <c r="DM16" s="70" t="s">
        <v>84</v>
      </c>
      <c r="DN16" s="70" t="s">
        <v>2</v>
      </c>
    </row>
    <row r="17" spans="1:118" ht="28">
      <c r="E17">
        <v>4</v>
      </c>
      <c r="F17">
        <v>4</v>
      </c>
      <c r="G17">
        <v>4</v>
      </c>
      <c r="H17">
        <v>4</v>
      </c>
      <c r="I17" s="53" t="s">
        <v>95</v>
      </c>
      <c r="J17">
        <v>4</v>
      </c>
      <c r="K17">
        <v>4</v>
      </c>
      <c r="L17">
        <v>4</v>
      </c>
      <c r="M17">
        <v>4</v>
      </c>
      <c r="N17" s="53" t="s">
        <v>96</v>
      </c>
      <c r="O17" s="53" t="s">
        <v>97</v>
      </c>
      <c r="P17" s="53" t="s">
        <v>98</v>
      </c>
      <c r="Q17" s="53" t="s">
        <v>99</v>
      </c>
      <c r="R17" s="53" t="s">
        <v>100</v>
      </c>
      <c r="S17" s="53" t="s">
        <v>101</v>
      </c>
      <c r="T17">
        <v>3</v>
      </c>
      <c r="U17">
        <v>3</v>
      </c>
      <c r="V17">
        <v>3</v>
      </c>
      <c r="W17">
        <v>3</v>
      </c>
      <c r="X17" s="53" t="s">
        <v>102</v>
      </c>
      <c r="Y17">
        <v>3</v>
      </c>
      <c r="Z17">
        <v>3</v>
      </c>
      <c r="AA17">
        <v>3</v>
      </c>
      <c r="AB17">
        <v>3</v>
      </c>
      <c r="AC17" s="53" t="s">
        <v>103</v>
      </c>
      <c r="AD17" s="53" t="s">
        <v>104</v>
      </c>
      <c r="AE17" s="53" t="s">
        <v>105</v>
      </c>
      <c r="AF17" s="53" t="s">
        <v>106</v>
      </c>
      <c r="AG17" s="53" t="s">
        <v>107</v>
      </c>
      <c r="AH17" s="53" t="s">
        <v>108</v>
      </c>
      <c r="AI17">
        <v>3</v>
      </c>
      <c r="AJ17">
        <v>3</v>
      </c>
      <c r="AK17">
        <v>3</v>
      </c>
      <c r="AL17">
        <v>3</v>
      </c>
      <c r="AM17" s="53">
        <v>3</v>
      </c>
      <c r="AN17">
        <v>3</v>
      </c>
      <c r="AO17">
        <v>3</v>
      </c>
      <c r="AP17">
        <v>3</v>
      </c>
      <c r="AQ17" t="s">
        <v>165</v>
      </c>
      <c r="AR17" s="53">
        <v>3</v>
      </c>
      <c r="AS17" s="53">
        <v>3</v>
      </c>
      <c r="AT17" s="53">
        <v>3</v>
      </c>
      <c r="AU17" s="53">
        <v>3</v>
      </c>
      <c r="AV17" s="53">
        <v>3</v>
      </c>
      <c r="AW17" s="53">
        <v>3</v>
      </c>
      <c r="AX17">
        <v>3</v>
      </c>
      <c r="AY17">
        <v>3</v>
      </c>
      <c r="AZ17" t="s">
        <v>166</v>
      </c>
      <c r="BA17" t="s">
        <v>167</v>
      </c>
      <c r="BB17" t="s">
        <v>168</v>
      </c>
      <c r="BC17" t="s">
        <v>169</v>
      </c>
      <c r="BD17" t="s">
        <v>170</v>
      </c>
      <c r="BE17" t="s">
        <v>171</v>
      </c>
      <c r="BF17" t="s">
        <v>172</v>
      </c>
      <c r="BG17" t="s">
        <v>173</v>
      </c>
      <c r="BH17" t="s">
        <v>174</v>
      </c>
      <c r="BI17" t="s">
        <v>175</v>
      </c>
      <c r="BJ17" s="53">
        <v>3</v>
      </c>
      <c r="BK17" s="53">
        <v>3</v>
      </c>
      <c r="BL17" s="53">
        <v>3</v>
      </c>
      <c r="BM17" s="43">
        <v>3</v>
      </c>
      <c r="BN17" s="43">
        <v>3</v>
      </c>
      <c r="BO17" s="43">
        <v>3</v>
      </c>
      <c r="BP17" s="43">
        <v>3</v>
      </c>
      <c r="BQ17" s="43">
        <v>3</v>
      </c>
      <c r="BR17" t="s">
        <v>176</v>
      </c>
      <c r="BS17" s="43">
        <v>3</v>
      </c>
      <c r="BT17" s="43">
        <v>3</v>
      </c>
      <c r="BU17" s="43">
        <v>3</v>
      </c>
      <c r="BV17" s="43">
        <v>3</v>
      </c>
      <c r="BW17" s="43">
        <v>3</v>
      </c>
      <c r="BX17" s="43">
        <v>3</v>
      </c>
      <c r="BY17" s="43">
        <v>3</v>
      </c>
      <c r="BZ17" s="43">
        <v>3</v>
      </c>
      <c r="CA17" t="s">
        <v>177</v>
      </c>
      <c r="CB17" t="s">
        <v>178</v>
      </c>
      <c r="CC17" t="s">
        <v>179</v>
      </c>
      <c r="CD17" t="s">
        <v>180</v>
      </c>
      <c r="CE17" t="s">
        <v>181</v>
      </c>
      <c r="CF17" t="s">
        <v>182</v>
      </c>
      <c r="CG17" t="s">
        <v>183</v>
      </c>
      <c r="CH17" t="s">
        <v>184</v>
      </c>
      <c r="CI17" t="s">
        <v>200</v>
      </c>
      <c r="CJ17" t="s">
        <v>185</v>
      </c>
      <c r="CK17">
        <v>4</v>
      </c>
      <c r="CL17" s="43">
        <v>4</v>
      </c>
      <c r="CM17">
        <v>4</v>
      </c>
      <c r="CN17">
        <v>4</v>
      </c>
      <c r="CO17">
        <v>4</v>
      </c>
      <c r="CP17">
        <v>4</v>
      </c>
      <c r="CQ17">
        <v>4</v>
      </c>
      <c r="CR17">
        <v>4</v>
      </c>
      <c r="CS17" t="s">
        <v>186</v>
      </c>
      <c r="CT17" t="s">
        <v>187</v>
      </c>
      <c r="CU17">
        <v>4</v>
      </c>
      <c r="CV17">
        <v>4</v>
      </c>
      <c r="CW17">
        <v>4</v>
      </c>
      <c r="CX17">
        <v>4</v>
      </c>
      <c r="CY17">
        <v>4</v>
      </c>
      <c r="CZ17">
        <v>4</v>
      </c>
      <c r="DA17">
        <v>4</v>
      </c>
      <c r="DB17">
        <v>4</v>
      </c>
      <c r="DC17" t="s">
        <v>188</v>
      </c>
      <c r="DD17" t="s">
        <v>189</v>
      </c>
      <c r="DE17" t="s">
        <v>190</v>
      </c>
      <c r="DF17" t="s">
        <v>191</v>
      </c>
      <c r="DG17" t="s">
        <v>192</v>
      </c>
      <c r="DH17" t="s">
        <v>193</v>
      </c>
      <c r="DI17" t="s">
        <v>194</v>
      </c>
      <c r="DJ17" t="s">
        <v>195</v>
      </c>
      <c r="DK17" t="s">
        <v>196</v>
      </c>
      <c r="DL17" t="s">
        <v>197</v>
      </c>
      <c r="DM17" t="s">
        <v>198</v>
      </c>
      <c r="DN17" t="s">
        <v>199</v>
      </c>
    </row>
    <row r="18" spans="1:118">
      <c r="A18">
        <v>1</v>
      </c>
      <c r="B18">
        <f>A18+1</f>
        <v>2</v>
      </c>
      <c r="C18">
        <f t="shared" ref="C18:BN18" si="22">B18+1</f>
        <v>3</v>
      </c>
      <c r="D18">
        <f t="shared" si="22"/>
        <v>4</v>
      </c>
      <c r="E18">
        <f t="shared" si="22"/>
        <v>5</v>
      </c>
      <c r="F18">
        <f t="shared" si="22"/>
        <v>6</v>
      </c>
      <c r="G18">
        <f t="shared" si="22"/>
        <v>7</v>
      </c>
      <c r="H18">
        <f t="shared" si="22"/>
        <v>8</v>
      </c>
      <c r="I18">
        <f t="shared" si="22"/>
        <v>9</v>
      </c>
      <c r="J18">
        <f t="shared" si="22"/>
        <v>10</v>
      </c>
      <c r="K18">
        <f t="shared" si="22"/>
        <v>11</v>
      </c>
      <c r="L18">
        <f t="shared" si="22"/>
        <v>12</v>
      </c>
      <c r="M18">
        <f t="shared" si="22"/>
        <v>13</v>
      </c>
      <c r="N18">
        <f t="shared" si="22"/>
        <v>14</v>
      </c>
      <c r="O18">
        <f t="shared" si="22"/>
        <v>15</v>
      </c>
      <c r="P18">
        <f t="shared" si="22"/>
        <v>16</v>
      </c>
      <c r="Q18">
        <f t="shared" si="22"/>
        <v>17</v>
      </c>
      <c r="R18">
        <f t="shared" si="22"/>
        <v>18</v>
      </c>
      <c r="S18">
        <f t="shared" si="22"/>
        <v>19</v>
      </c>
      <c r="T18">
        <f t="shared" si="22"/>
        <v>20</v>
      </c>
      <c r="U18">
        <f t="shared" si="22"/>
        <v>21</v>
      </c>
      <c r="V18">
        <f t="shared" si="22"/>
        <v>22</v>
      </c>
      <c r="W18">
        <f t="shared" si="22"/>
        <v>23</v>
      </c>
      <c r="X18">
        <f t="shared" si="22"/>
        <v>24</v>
      </c>
      <c r="Y18">
        <f t="shared" si="22"/>
        <v>25</v>
      </c>
      <c r="Z18">
        <f t="shared" si="22"/>
        <v>26</v>
      </c>
      <c r="AA18">
        <f t="shared" si="22"/>
        <v>27</v>
      </c>
      <c r="AB18">
        <f t="shared" si="22"/>
        <v>28</v>
      </c>
      <c r="AC18">
        <f t="shared" si="22"/>
        <v>29</v>
      </c>
      <c r="AD18">
        <f t="shared" si="22"/>
        <v>30</v>
      </c>
      <c r="AE18">
        <f t="shared" si="22"/>
        <v>31</v>
      </c>
      <c r="AF18">
        <f t="shared" si="22"/>
        <v>32</v>
      </c>
      <c r="AG18">
        <f t="shared" si="22"/>
        <v>33</v>
      </c>
      <c r="AH18">
        <f t="shared" si="22"/>
        <v>34</v>
      </c>
      <c r="AI18">
        <f t="shared" si="22"/>
        <v>35</v>
      </c>
      <c r="AJ18">
        <f t="shared" si="22"/>
        <v>36</v>
      </c>
      <c r="AK18">
        <f t="shared" si="22"/>
        <v>37</v>
      </c>
      <c r="AL18">
        <f t="shared" si="22"/>
        <v>38</v>
      </c>
      <c r="AM18">
        <f t="shared" si="22"/>
        <v>39</v>
      </c>
      <c r="AN18">
        <f t="shared" si="22"/>
        <v>40</v>
      </c>
      <c r="AO18">
        <f t="shared" si="22"/>
        <v>41</v>
      </c>
      <c r="AP18">
        <f t="shared" si="22"/>
        <v>42</v>
      </c>
      <c r="AQ18">
        <f t="shared" si="22"/>
        <v>43</v>
      </c>
      <c r="AR18">
        <f t="shared" si="22"/>
        <v>44</v>
      </c>
      <c r="AS18">
        <f t="shared" si="22"/>
        <v>45</v>
      </c>
      <c r="AT18">
        <f t="shared" si="22"/>
        <v>46</v>
      </c>
      <c r="AU18">
        <f t="shared" si="22"/>
        <v>47</v>
      </c>
      <c r="AV18">
        <f t="shared" si="22"/>
        <v>48</v>
      </c>
      <c r="AW18">
        <f t="shared" si="22"/>
        <v>49</v>
      </c>
      <c r="AX18">
        <f t="shared" si="22"/>
        <v>50</v>
      </c>
      <c r="AY18">
        <f t="shared" si="22"/>
        <v>51</v>
      </c>
      <c r="AZ18">
        <f t="shared" si="22"/>
        <v>52</v>
      </c>
      <c r="BA18">
        <f t="shared" si="22"/>
        <v>53</v>
      </c>
      <c r="BB18">
        <f t="shared" si="22"/>
        <v>54</v>
      </c>
      <c r="BC18">
        <f t="shared" si="22"/>
        <v>55</v>
      </c>
      <c r="BD18">
        <f t="shared" si="22"/>
        <v>56</v>
      </c>
      <c r="BE18">
        <f t="shared" si="22"/>
        <v>57</v>
      </c>
      <c r="BF18">
        <f t="shared" si="22"/>
        <v>58</v>
      </c>
      <c r="BG18">
        <f t="shared" si="22"/>
        <v>59</v>
      </c>
      <c r="BH18">
        <f t="shared" si="22"/>
        <v>60</v>
      </c>
      <c r="BI18">
        <f t="shared" si="22"/>
        <v>61</v>
      </c>
      <c r="BJ18">
        <f t="shared" si="22"/>
        <v>62</v>
      </c>
      <c r="BK18">
        <f t="shared" si="22"/>
        <v>63</v>
      </c>
      <c r="BL18">
        <f t="shared" si="22"/>
        <v>64</v>
      </c>
      <c r="BM18">
        <f t="shared" si="22"/>
        <v>65</v>
      </c>
      <c r="BN18">
        <f t="shared" si="22"/>
        <v>66</v>
      </c>
      <c r="BO18">
        <f t="shared" ref="BO18:CP18" si="23">BN18+1</f>
        <v>67</v>
      </c>
      <c r="BP18">
        <f t="shared" si="23"/>
        <v>68</v>
      </c>
      <c r="BQ18">
        <f t="shared" si="23"/>
        <v>69</v>
      </c>
      <c r="BR18">
        <f t="shared" si="23"/>
        <v>70</v>
      </c>
      <c r="BS18">
        <f t="shared" si="23"/>
        <v>71</v>
      </c>
      <c r="BT18">
        <f t="shared" si="23"/>
        <v>72</v>
      </c>
      <c r="BU18">
        <f t="shared" si="23"/>
        <v>73</v>
      </c>
      <c r="BV18">
        <f t="shared" si="23"/>
        <v>74</v>
      </c>
      <c r="BW18">
        <f t="shared" si="23"/>
        <v>75</v>
      </c>
      <c r="BX18">
        <f t="shared" si="23"/>
        <v>76</v>
      </c>
      <c r="BY18">
        <f t="shared" si="23"/>
        <v>77</v>
      </c>
      <c r="BZ18">
        <f t="shared" si="23"/>
        <v>78</v>
      </c>
      <c r="CA18">
        <f t="shared" si="23"/>
        <v>79</v>
      </c>
      <c r="CB18">
        <f t="shared" si="23"/>
        <v>80</v>
      </c>
      <c r="CC18">
        <f t="shared" si="23"/>
        <v>81</v>
      </c>
      <c r="CD18">
        <f t="shared" si="23"/>
        <v>82</v>
      </c>
      <c r="CE18">
        <f t="shared" si="23"/>
        <v>83</v>
      </c>
      <c r="CF18">
        <f t="shared" si="23"/>
        <v>84</v>
      </c>
      <c r="CG18">
        <f t="shared" si="23"/>
        <v>85</v>
      </c>
      <c r="CH18">
        <f t="shared" si="23"/>
        <v>86</v>
      </c>
      <c r="CI18">
        <f t="shared" si="23"/>
        <v>87</v>
      </c>
      <c r="CJ18">
        <f t="shared" si="23"/>
        <v>88</v>
      </c>
      <c r="CK18">
        <f t="shared" si="23"/>
        <v>89</v>
      </c>
      <c r="CL18">
        <f t="shared" si="23"/>
        <v>90</v>
      </c>
      <c r="CM18">
        <f t="shared" si="23"/>
        <v>91</v>
      </c>
      <c r="CN18">
        <f t="shared" si="23"/>
        <v>92</v>
      </c>
      <c r="CO18">
        <f t="shared" si="23"/>
        <v>93</v>
      </c>
      <c r="CP18">
        <f t="shared" si="23"/>
        <v>94</v>
      </c>
      <c r="CQ18">
        <f t="shared" ref="CQ18" si="24">CP18+1</f>
        <v>95</v>
      </c>
      <c r="CR18">
        <f t="shared" ref="CR18" si="25">CQ18+1</f>
        <v>96</v>
      </c>
      <c r="CS18">
        <f t="shared" ref="CS18" si="26">CR18+1</f>
        <v>97</v>
      </c>
      <c r="CT18">
        <f t="shared" ref="CT18" si="27">CS18+1</f>
        <v>98</v>
      </c>
      <c r="CU18">
        <f t="shared" ref="CU18" si="28">CT18+1</f>
        <v>99</v>
      </c>
      <c r="CV18">
        <f t="shared" ref="CV18" si="29">CU18+1</f>
        <v>100</v>
      </c>
      <c r="CW18">
        <f t="shared" ref="CW18" si="30">CV18+1</f>
        <v>101</v>
      </c>
      <c r="CX18">
        <f t="shared" ref="CX18" si="31">CW18+1</f>
        <v>102</v>
      </c>
      <c r="CY18">
        <f t="shared" ref="CY18" si="32">CX18+1</f>
        <v>103</v>
      </c>
      <c r="CZ18">
        <f t="shared" ref="CZ18" si="33">CY18+1</f>
        <v>104</v>
      </c>
      <c r="DA18">
        <f t="shared" ref="DA18" si="34">CZ18+1</f>
        <v>105</v>
      </c>
      <c r="DB18">
        <f t="shared" ref="DB18" si="35">DA18+1</f>
        <v>106</v>
      </c>
      <c r="DC18">
        <f t="shared" ref="DC18" si="36">DB18+1</f>
        <v>107</v>
      </c>
      <c r="DD18">
        <f t="shared" ref="DD18" si="37">DC18+1</f>
        <v>108</v>
      </c>
      <c r="DE18">
        <f t="shared" ref="DE18" si="38">DD18+1</f>
        <v>109</v>
      </c>
      <c r="DF18">
        <f t="shared" ref="DF18" si="39">DE18+1</f>
        <v>110</v>
      </c>
      <c r="DG18">
        <f t="shared" ref="DG18" si="40">DF18+1</f>
        <v>111</v>
      </c>
      <c r="DH18">
        <f t="shared" ref="DH18" si="41">DG18+1</f>
        <v>112</v>
      </c>
      <c r="DI18">
        <f t="shared" ref="DI18" si="42">DH18+1</f>
        <v>113</v>
      </c>
      <c r="DJ18">
        <f t="shared" ref="DJ18" si="43">DI18+1</f>
        <v>114</v>
      </c>
      <c r="DK18">
        <f t="shared" ref="DK18" si="44">DJ18+1</f>
        <v>115</v>
      </c>
      <c r="DL18">
        <f t="shared" ref="DL18" si="45">DK18+1</f>
        <v>116</v>
      </c>
      <c r="DM18">
        <f t="shared" ref="DM18" si="46">DL18+1</f>
        <v>117</v>
      </c>
      <c r="DN18">
        <f t="shared" ref="DN18" si="47">DM18+1</f>
        <v>118</v>
      </c>
    </row>
    <row r="19" spans="1:118">
      <c r="I19" s="53"/>
      <c r="N19" s="53"/>
      <c r="O19" s="53"/>
      <c r="P19" s="53"/>
      <c r="Q19" s="53"/>
      <c r="R19" s="53"/>
      <c r="S19" s="53"/>
      <c r="X19" s="53"/>
      <c r="AC19" s="53"/>
      <c r="AD19" s="53"/>
      <c r="AE19" s="53"/>
      <c r="AF19" s="53"/>
      <c r="AG19" s="53"/>
      <c r="AH19" s="53"/>
      <c r="AM19" s="53"/>
      <c r="AR19" s="53"/>
      <c r="AS19" s="53"/>
      <c r="AT19" s="53"/>
      <c r="AU19" s="53"/>
      <c r="AV19" s="53"/>
      <c r="AW19" s="53"/>
      <c r="BB19" s="53"/>
      <c r="BG19" s="53"/>
      <c r="BH19" s="53"/>
      <c r="BI19" s="53"/>
      <c r="BJ19" s="53"/>
      <c r="BK19" s="53"/>
      <c r="BL19" s="53"/>
      <c r="BU19" s="43"/>
      <c r="BV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</row>
    <row r="21" spans="1:118" ht="20">
      <c r="A21" s="37" t="s">
        <v>7</v>
      </c>
      <c r="B21" s="35"/>
      <c r="C21" s="36"/>
      <c r="D21" s="36"/>
      <c r="E21" s="47"/>
      <c r="F21" s="47"/>
      <c r="G21" s="45"/>
      <c r="H21" s="46"/>
      <c r="J21" s="45"/>
      <c r="K21" s="46"/>
      <c r="M21" s="45"/>
      <c r="N21" s="45"/>
      <c r="O21" s="45"/>
      <c r="P21" s="44" t="s">
        <v>88</v>
      </c>
      <c r="Q21" s="45"/>
      <c r="R21" s="45"/>
      <c r="S21" s="46"/>
    </row>
    <row r="22" spans="1:118" ht="20">
      <c r="A22" s="38" t="s">
        <v>3</v>
      </c>
      <c r="B22" s="39"/>
      <c r="C22" s="40"/>
      <c r="D22" s="40"/>
      <c r="E22" s="47"/>
      <c r="F22" s="47"/>
      <c r="G22" s="48"/>
      <c r="H22" s="49"/>
      <c r="I22" s="47"/>
      <c r="J22" s="48"/>
      <c r="K22" s="49"/>
      <c r="L22" s="47"/>
      <c r="M22" s="48"/>
      <c r="N22" s="48"/>
      <c r="O22" s="48"/>
      <c r="P22" s="47"/>
      <c r="Q22" s="48"/>
      <c r="R22" s="48"/>
      <c r="S22" s="49"/>
    </row>
    <row r="23" spans="1:118" ht="20">
      <c r="A23" s="171" t="s">
        <v>17</v>
      </c>
      <c r="B23" s="171"/>
      <c r="C23" s="171"/>
      <c r="D23" s="172"/>
      <c r="E23" s="44" t="s">
        <v>85</v>
      </c>
      <c r="F23" s="47"/>
      <c r="G23" s="51"/>
      <c r="H23" s="52"/>
      <c r="I23" s="44" t="s">
        <v>86</v>
      </c>
      <c r="J23" s="51"/>
      <c r="K23" s="52"/>
      <c r="L23" s="44" t="s">
        <v>87</v>
      </c>
      <c r="M23" s="51"/>
      <c r="N23" s="51"/>
      <c r="O23" s="51"/>
      <c r="P23" s="50"/>
      <c r="Q23" s="51"/>
      <c r="R23" s="51"/>
      <c r="S23" s="52"/>
    </row>
    <row r="24" spans="1:118">
      <c r="A24" s="34" t="s">
        <v>10</v>
      </c>
      <c r="B24" s="34" t="s">
        <v>4</v>
      </c>
      <c r="C24" s="34" t="s">
        <v>5</v>
      </c>
      <c r="D24" s="34" t="s">
        <v>14</v>
      </c>
      <c r="E24" s="87" t="s">
        <v>66</v>
      </c>
      <c r="F24" s="34" t="s">
        <v>89</v>
      </c>
      <c r="G24" s="34" t="s">
        <v>90</v>
      </c>
      <c r="H24" s="34" t="s">
        <v>83</v>
      </c>
      <c r="I24" s="34" t="s">
        <v>91</v>
      </c>
      <c r="J24" s="34" t="s">
        <v>92</v>
      </c>
      <c r="K24" s="34" t="s">
        <v>93</v>
      </c>
      <c r="L24" s="34" t="s">
        <v>35</v>
      </c>
      <c r="M24" s="34" t="s">
        <v>94</v>
      </c>
      <c r="N24" s="34" t="s">
        <v>35</v>
      </c>
      <c r="O24" s="34" t="s">
        <v>94</v>
      </c>
      <c r="P24" s="57" t="s">
        <v>64</v>
      </c>
      <c r="Q24" s="57" t="s">
        <v>65</v>
      </c>
      <c r="R24" s="57" t="s">
        <v>64</v>
      </c>
      <c r="S24" s="57" t="s">
        <v>65</v>
      </c>
    </row>
    <row r="25" spans="1:118">
      <c r="E25">
        <v>4</v>
      </c>
      <c r="F25">
        <v>4</v>
      </c>
      <c r="G25">
        <v>4</v>
      </c>
      <c r="H25" t="s">
        <v>201</v>
      </c>
      <c r="I25">
        <v>3</v>
      </c>
      <c r="J25">
        <v>3</v>
      </c>
      <c r="K25">
        <v>3</v>
      </c>
      <c r="L25" t="s">
        <v>203</v>
      </c>
      <c r="M25" t="s">
        <v>202</v>
      </c>
      <c r="N25" t="s">
        <v>204</v>
      </c>
      <c r="O25" t="s">
        <v>205</v>
      </c>
      <c r="P25" t="s">
        <v>206</v>
      </c>
      <c r="Q25" t="s">
        <v>207</v>
      </c>
      <c r="R25" t="s">
        <v>208</v>
      </c>
      <c r="S25" t="s">
        <v>209</v>
      </c>
    </row>
    <row r="26" spans="1:118">
      <c r="A26">
        <v>1</v>
      </c>
      <c r="B26">
        <f>A26+1</f>
        <v>2</v>
      </c>
      <c r="C26">
        <f t="shared" ref="C26:D26" si="48">B26+1</f>
        <v>3</v>
      </c>
      <c r="D26">
        <f t="shared" si="48"/>
        <v>4</v>
      </c>
      <c r="E26">
        <f t="shared" ref="E26" si="49">D26+1</f>
        <v>5</v>
      </c>
      <c r="F26">
        <f t="shared" ref="F26" si="50">E26+1</f>
        <v>6</v>
      </c>
      <c r="G26">
        <f t="shared" ref="G26" si="51">F26+1</f>
        <v>7</v>
      </c>
      <c r="H26">
        <f t="shared" ref="H26" si="52">G26+1</f>
        <v>8</v>
      </c>
      <c r="I26">
        <f t="shared" ref="I26" si="53">H26+1</f>
        <v>9</v>
      </c>
      <c r="J26">
        <f t="shared" ref="J26" si="54">I26+1</f>
        <v>10</v>
      </c>
      <c r="K26">
        <f t="shared" ref="K26" si="55">J26+1</f>
        <v>11</v>
      </c>
      <c r="L26">
        <f t="shared" ref="L26" si="56">K26+1</f>
        <v>12</v>
      </c>
      <c r="M26">
        <f t="shared" ref="M26" si="57">L26+1</f>
        <v>13</v>
      </c>
      <c r="N26">
        <f t="shared" ref="N26" si="58">M26+1</f>
        <v>14</v>
      </c>
      <c r="O26">
        <f t="shared" ref="O26" si="59">N26+1</f>
        <v>15</v>
      </c>
      <c r="P26">
        <f t="shared" ref="P26" si="60">O26+1</f>
        <v>16</v>
      </c>
      <c r="Q26">
        <f t="shared" ref="Q26" si="61">P26+1</f>
        <v>17</v>
      </c>
      <c r="R26">
        <f t="shared" ref="R26" si="62">Q26+1</f>
        <v>18</v>
      </c>
      <c r="S26">
        <f t="shared" ref="S26" si="63">R26+1</f>
        <v>19</v>
      </c>
    </row>
    <row r="29" spans="1:118">
      <c r="A29" t="s">
        <v>109</v>
      </c>
      <c r="B29">
        <v>1</v>
      </c>
    </row>
    <row r="30" spans="1:118">
      <c r="A30" t="s">
        <v>110</v>
      </c>
      <c r="B30">
        <v>2</v>
      </c>
    </row>
    <row r="31" spans="1:118">
      <c r="A31" t="s">
        <v>111</v>
      </c>
      <c r="B31">
        <v>3</v>
      </c>
    </row>
    <row r="32" spans="1:118">
      <c r="A32" t="s">
        <v>112</v>
      </c>
      <c r="B32">
        <v>4</v>
      </c>
    </row>
  </sheetData>
  <mergeCells count="89">
    <mergeCell ref="CB15:CC15"/>
    <mergeCell ref="CD15:CE15"/>
    <mergeCell ref="CF15:CG15"/>
    <mergeCell ref="CH15:CI15"/>
    <mergeCell ref="AI13:BI13"/>
    <mergeCell ref="BK13:CJ13"/>
    <mergeCell ref="AQ15:AQ16"/>
    <mergeCell ref="AO15:AP15"/>
    <mergeCell ref="BJ15:BK15"/>
    <mergeCell ref="BL15:BM15"/>
    <mergeCell ref="BN15:BO15"/>
    <mergeCell ref="BP15:BQ15"/>
    <mergeCell ref="BR15:BR16"/>
    <mergeCell ref="CK13:DN13"/>
    <mergeCell ref="AI14:AQ14"/>
    <mergeCell ref="AR14:AZ14"/>
    <mergeCell ref="BA14:BI14"/>
    <mergeCell ref="BJ14:BR14"/>
    <mergeCell ref="BS14:CA14"/>
    <mergeCell ref="CB14:CJ14"/>
    <mergeCell ref="CK14:CT14"/>
    <mergeCell ref="CU14:DD14"/>
    <mergeCell ref="DE14:DN14"/>
    <mergeCell ref="A23:D23"/>
    <mergeCell ref="BS15:BT15"/>
    <mergeCell ref="BU15:BV15"/>
    <mergeCell ref="BW15:BX15"/>
    <mergeCell ref="BY15:BZ15"/>
    <mergeCell ref="AI15:AJ15"/>
    <mergeCell ref="BI15:BI16"/>
    <mergeCell ref="AZ15:AZ16"/>
    <mergeCell ref="AR15:AS15"/>
    <mergeCell ref="AT15:AU15"/>
    <mergeCell ref="AV15:AW15"/>
    <mergeCell ref="AX15:AY15"/>
    <mergeCell ref="BA15:BB15"/>
    <mergeCell ref="BC15:BD15"/>
    <mergeCell ref="BE15:BF15"/>
    <mergeCell ref="BG15:BH15"/>
    <mergeCell ref="AF15:AF16"/>
    <mergeCell ref="AG15:AG16"/>
    <mergeCell ref="AH15:AH16"/>
    <mergeCell ref="AK15:AL15"/>
    <mergeCell ref="AM15:AN15"/>
    <mergeCell ref="AC15:AC16"/>
    <mergeCell ref="AD15:AD16"/>
    <mergeCell ref="AE15:AE16"/>
    <mergeCell ref="T15:T16"/>
    <mergeCell ref="U15:U16"/>
    <mergeCell ref="V15:V16"/>
    <mergeCell ref="W15:W16"/>
    <mergeCell ref="X15:X16"/>
    <mergeCell ref="Y15:Y16"/>
    <mergeCell ref="Z15:Z16"/>
    <mergeCell ref="AA15:AA16"/>
    <mergeCell ref="AB15:AB16"/>
    <mergeCell ref="A15:A16"/>
    <mergeCell ref="B15:B16"/>
    <mergeCell ref="C15:C16"/>
    <mergeCell ref="D15:D16"/>
    <mergeCell ref="E15:E16"/>
    <mergeCell ref="F15:F16"/>
    <mergeCell ref="G15:G16"/>
    <mergeCell ref="N15:N16"/>
    <mergeCell ref="O15:O16"/>
    <mergeCell ref="P15:P16"/>
    <mergeCell ref="Q15:Q16"/>
    <mergeCell ref="R15:R16"/>
    <mergeCell ref="S15:S16"/>
    <mergeCell ref="H15:H16"/>
    <mergeCell ref="I15:I16"/>
    <mergeCell ref="J15:J16"/>
    <mergeCell ref="K15:K16"/>
    <mergeCell ref="L15:L16"/>
    <mergeCell ref="M15:M16"/>
    <mergeCell ref="A1:G1"/>
    <mergeCell ref="A7:D7"/>
    <mergeCell ref="E13:S13"/>
    <mergeCell ref="T13:AH13"/>
    <mergeCell ref="A14:D14"/>
    <mergeCell ref="E14:I14"/>
    <mergeCell ref="J14:N14"/>
    <mergeCell ref="O14:S14"/>
    <mergeCell ref="T14:X14"/>
    <mergeCell ref="Y14:AC14"/>
    <mergeCell ref="AD14:AH14"/>
    <mergeCell ref="E7:I7"/>
    <mergeCell ref="J7:K7"/>
    <mergeCell ref="L7:Q7"/>
  </mergeCells>
  <dataValidations disablePrompts="1" count="6">
    <dataValidation type="list" allowBlank="1" showInputMessage="1" showErrorMessage="1" error="Select only from list" sqref="AT13:AT16">
      <formula1>"None,Line 1,Line 2,Line 3,Line 4,Line 5,Line 6,Line 7,Line 8,Line 9,Line 10,Line 11,Line 12,Line 13,Line 14,Line 15,Line 16,Line 17,Line 18,Line 19"</formula1>
    </dataValidation>
    <dataValidation type="list" allowBlank="1" showInputMessage="1" showErrorMessage="1" error="Select only from list" sqref="AR13:AR16 AP13:AP16">
      <formula1>"None,3X50+1X35+1X16,3X35+1X35+1X16,3X25+1X35+1X16,3X16+1X16+1X25,2X35+1X16,2X25+1X16,3X50+1X50,3X95+1X70,1X25+25,3 Ph on Steel Tubular,1 Ph on Steel Tubular,3X95+1X70+1X16"</formula1>
    </dataValidation>
    <dataValidation type="list" allowBlank="1" showInputMessage="1" showErrorMessage="1" error="Select only from list" sqref="AJ13:AJ16 AH13:AH16">
      <formula1>"None,3X50+1X35+1X16,3X35+1X35+1X16,3X25+1X35+1X16,3X16+1X16+1X25,2X35+1X16,2X25+1X16,3X50+1X50,3X95+1X70,1X25+25,3X95+1X70+1X16"</formula1>
    </dataValidation>
    <dataValidation type="list" allowBlank="1" showInputMessage="1" showErrorMessage="1" error="Select only from list" sqref="AN13:AN16 AL13:AL16 AF13:AF16">
      <formula1>"None,Weasel (30sqmm) 3Ph-N (4W),Rabbit (50sqmm) 3Ph-N (4W),Mink (60sqmm) 3Ph-N (4W),Raccoon (75sqmm) 3Ph-N (4W),Weasel (30sqmm) 1Ph-N (2W),Rabbit (50sqmm) 1Ph-N (2W),Gnat 1Ph-N (2W),Gnat 3Ph-N (4W),Squirrel (20sqmm) 3Ph-N (4W),Squirrel (20sqmm) 1Ph-N (2W)"</formula1>
    </dataValidation>
    <dataValidation type="list" allowBlank="1" showInputMessage="1" showErrorMessage="1" error="Select only from list" sqref="BD13:BD16 BB13:BB16 AZ13:AZ16 AX13:AX16 AV13:AV16 X13:X16 V13:V16">
      <formula1>"None,10 KVA (1 Ph),10 KVA (3 Ph),16 KVA (1 Ph),16 KVA (3 Ph),25 KVA (3 Ph),63 KVA (3 Ph),100 KVA (3 Ph),250 KVA (3 Ph),5/6 KVA (1 Ph),5/6 KVA (3 Ph),40 KVA (1 Ph),40 KVA (3 Ph),315 KVA (3 Ph),25 KVA (1 Ph)"</formula1>
    </dataValidation>
    <dataValidation type="list" allowBlank="1" showInputMessage="1" showErrorMessage="1" error="Select only from list" sqref="D13:D16">
      <formula1>"Yes, No"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8"/>
  <sheetViews>
    <sheetView workbookViewId="0">
      <selection activeCell="G4" sqref="G4"/>
    </sheetView>
  </sheetViews>
  <sheetFormatPr baseColWidth="10" defaultColWidth="8.83203125" defaultRowHeight="14" x14ac:dyDescent="0"/>
  <cols>
    <col min="1" max="1" width="15.33203125" bestFit="1" customWidth="1"/>
    <col min="2" max="2" width="13.83203125" bestFit="1" customWidth="1"/>
    <col min="3" max="3" width="24.83203125" customWidth="1"/>
    <col min="4" max="4" width="18.6640625" bestFit="1" customWidth="1"/>
    <col min="5" max="5" width="17.5" bestFit="1" customWidth="1"/>
  </cols>
  <sheetData>
    <row r="1" spans="1:12">
      <c r="A1" t="s">
        <v>113</v>
      </c>
      <c r="B1" t="s">
        <v>40</v>
      </c>
      <c r="C1" t="s">
        <v>114</v>
      </c>
      <c r="D1" t="s">
        <v>135</v>
      </c>
      <c r="E1" t="s">
        <v>140</v>
      </c>
      <c r="F1" t="s">
        <v>211</v>
      </c>
      <c r="G1" t="s">
        <v>224</v>
      </c>
      <c r="L1" t="s">
        <v>127</v>
      </c>
    </row>
    <row r="2" spans="1:12">
      <c r="A2" t="s">
        <v>57</v>
      </c>
      <c r="B2" t="s">
        <v>121</v>
      </c>
      <c r="C2" t="s">
        <v>121</v>
      </c>
      <c r="D2" t="s">
        <v>147</v>
      </c>
      <c r="E2" t="s">
        <v>141</v>
      </c>
      <c r="F2" t="s">
        <v>212</v>
      </c>
      <c r="G2" t="s">
        <v>225</v>
      </c>
      <c r="L2" t="s">
        <v>128</v>
      </c>
    </row>
    <row r="3" spans="1:12">
      <c r="A3" t="s">
        <v>115</v>
      </c>
      <c r="B3" t="s">
        <v>126</v>
      </c>
      <c r="C3" t="s">
        <v>122</v>
      </c>
      <c r="D3" t="s">
        <v>148</v>
      </c>
      <c r="E3" t="s">
        <v>215</v>
      </c>
      <c r="F3" t="s">
        <v>213</v>
      </c>
      <c r="G3" t="s">
        <v>226</v>
      </c>
    </row>
    <row r="4" spans="1:12">
      <c r="B4" t="s">
        <v>116</v>
      </c>
      <c r="C4" t="s">
        <v>123</v>
      </c>
      <c r="D4" t="s">
        <v>149</v>
      </c>
      <c r="E4" t="s">
        <v>142</v>
      </c>
      <c r="G4" t="s">
        <v>227</v>
      </c>
    </row>
    <row r="5" spans="1:12">
      <c r="B5" t="s">
        <v>117</v>
      </c>
      <c r="C5" t="s">
        <v>124</v>
      </c>
      <c r="D5" t="s">
        <v>150</v>
      </c>
      <c r="E5" t="s">
        <v>151</v>
      </c>
    </row>
    <row r="6" spans="1:12">
      <c r="B6" t="s">
        <v>118</v>
      </c>
      <c r="C6" t="s">
        <v>125</v>
      </c>
    </row>
    <row r="7" spans="1:12">
      <c r="B7" t="s">
        <v>119</v>
      </c>
    </row>
    <row r="8" spans="1:12">
      <c r="B8" t="s">
        <v>120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HabitationDetail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2018-03-13T20:09:49Z</dcterms:modified>
</cp:coreProperties>
</file>